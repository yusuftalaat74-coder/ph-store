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Lista de Preços" sheetId="2" state="visible" r:id="rId4"/>
    <sheet name="Validação" sheetId="3" state="visible" r:id="rId5"/>
    <sheet name="Dicioná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Chave estável de reenvio: o sistema usa este código para saber que é o MESMO produto num novo carregamento (actualiza) e não um produto novo (cria).
OBRIGATÓRIO. Texto/código único e estável por produto. É a CHAVE usada para actualizar preços em envios futuros — não mude o código de um produto já enviado antes.</t>
        </r>
      </text>
    </comment>
    <comment ref="A3" authorId="0">
      <text>
        <r>
          <rPr>
            <sz val="10"/>
            <rFont val="Arial"/>
            <family val="2"/>
          </rPr>
          <t xml:space="preserve">Linha de EXEMPLO — apague esta linha antes de enviar.</t>
        </r>
      </text>
    </comment>
    <comment ref="B2" authorId="0">
      <text>
        <r>
          <rPr>
            <sz val="10"/>
            <rFont val="Arial"/>
            <family val="2"/>
          </rPr>
          <t xml:space="preserve">Mostrado à farmácia na ficha do produto e nos resultados de pesquisa.
OBRIGATÓRIO. Nome comercial/de marca tal como aparece na embalagem.</t>
        </r>
      </text>
    </comment>
    <comment ref="C2" authorId="0">
      <text>
        <r>
          <rPr>
            <sz val="10"/>
            <rFont val="Arial"/>
            <family val="2"/>
          </rPr>
          <t xml:space="preserve">Usado para comparar este produto com o Índice de Medicamentos (Index) e encontrar o registo correcto e alternativas terapêuticas.
OBRIGATÓRIO. Denominação Comum Internacional (DCI/INN). Obrigatório mesmo quando igual ao nome comercial.</t>
        </r>
      </text>
    </comment>
    <comment ref="D2" authorId="0">
      <text>
        <r>
          <rPr>
            <sz val="10"/>
            <rFont val="Arial"/>
            <family val="2"/>
          </rPr>
          <t xml:space="preserve">Usado para distinguir apresentações do mesmo princípio activo (ex: comprimido vs xarope).
OBRIGATÓRIO. Escolher da lista (menu suspenso).</t>
        </r>
      </text>
    </comment>
    <comment ref="E2" authorId="0">
      <text>
        <r>
          <rPr>
            <sz val="10"/>
            <rFont val="Arial"/>
            <family val="2"/>
          </rPr>
          <t xml:space="preserve">Parte da identificação do produto para o pareamento com o Índice.
OBRIGATÓRIO. Texto livre, com unidade incluída (ex: 500mg, 250mg/5ml).</t>
        </r>
      </text>
    </comment>
    <comment ref="F2" authorId="0">
      <text>
        <r>
          <rPr>
            <sz val="10"/>
            <rFont val="Arial"/>
            <family val="2"/>
          </rPr>
          <t xml:space="preserve">Usado para calcular o preço por unidade e para comparar embalagens de tamanhos diferentes.
OBRIGATÓRIO. Número inteiro positivo (quantas unidades/comprimidos/ml existem numa embalagem de venda).</t>
        </r>
      </text>
    </comment>
    <comment ref="G2" authorId="0">
      <text>
        <r>
          <rPr>
            <sz val="10"/>
            <rFont val="Arial"/>
            <family val="2"/>
          </rPr>
          <t xml:space="preserve">Opcional. Ajuda a mostrar a embalagem correctamente à farmácia (ex: '24 cápsulas').
Opcional. Escolher da lista. Opcional mas recomendado — sem isto o sistema assume 'unidades'.</t>
        </r>
      </text>
    </comment>
    <comment ref="H2" authorId="0">
      <text>
        <r>
          <rPr>
            <sz val="10"/>
            <rFont val="Arial"/>
            <family val="2"/>
          </rPr>
          <t xml:space="preserve">Opcional. Melhora a confiança do pareamento automático com o Índice.
Opcional. Opcional, mas melhora a precisão do pareamento com o Índice quando há várias marcas do mesmo genérico.</t>
        </r>
      </text>
    </comment>
    <comment ref="I2" authorId="0">
      <text>
        <r>
          <rPr>
            <sz val="10"/>
            <rFont val="Arial"/>
            <family val="2"/>
          </rPr>
          <t xml:space="preserve">Opcional, informativo.
Opcional. Opcional.</t>
        </r>
      </text>
    </comment>
    <comment ref="J2" authorId="0">
      <text>
        <r>
          <rPr>
            <sz val="10"/>
            <rFont val="Arial"/>
            <family val="2"/>
          </rPr>
          <t xml:space="preserve">Opcional — nem todos os produtos têm AIM atribuído. Quando presente, acelera o pareamento automático com o Índice.
Opcional. Número de Autorização de Introdução no Mercado (ANARME), quando exista. Deixe em branco se não souber.</t>
        </r>
      </text>
    </comment>
    <comment ref="K2" authorId="0">
      <text>
        <r>
          <rPr>
            <sz val="10"/>
            <rFont val="Arial"/>
            <family val="2"/>
          </rPr>
          <t xml:space="preserve">Opcional. Quando presente, o pareamento com o Índice é automático e imediato.
Opcional. EAN/UPC da embalagem, se existir.</t>
        </r>
      </text>
    </comment>
    <comment ref="L2" authorId="0">
      <text>
        <r>
          <rPr>
            <sz val="10"/>
            <rFont val="Arial"/>
            <family val="2"/>
          </rPr>
          <t xml:space="preserve">Preço que a farmácia paga ao fornecedor. Para medicamentos com preço regulado pelo Estado, este valor é cruzado com o Índice — ver folha Instruções.
OBRIGATÓRIO. Número positivo, em Meticais (MZN), sem símbolos. Use ponto ou o separador decimal do Excel — não escreva texto.</t>
        </r>
      </text>
    </comment>
    <comment ref="M2" authorId="0">
      <text>
        <r>
          <rPr>
            <sz val="10"/>
            <rFont val="Arial"/>
            <family val="2"/>
          </rPr>
          <t xml:space="preserve">Para medicamentos regulados, o PVP oficial vem do Índice e prevalece sobre este valor — preencha mesmo assim para referência e para o controlo de margem da farmácia.
OBRIGATÓRIO. Número positivo, em Meticais (MZN). Para medicamentos, deve corresponder ao PVP fixado (Diploma Ministerial 21/2017); para produtos de preço livre, é o preço de venda sugerido.</t>
        </r>
      </text>
    </comment>
    <comment ref="N2" authorId="0">
      <text>
        <r>
          <rPr>
            <sz val="10"/>
            <rFont val="Arial"/>
            <family val="2"/>
          </rPr>
          <t xml:space="preserve">Opcional. Desconto comercial do fornecedor sobre o Preço à Farmácia — nunca sobre o PVP.
Opcional. Opcional. Percentagem entre 0% e 50%, aplicada sobre o Preço à Farmácia.</t>
        </r>
      </text>
    </comment>
    <comment ref="O2" authorId="0">
      <text>
        <r>
          <rPr>
            <sz val="10"/>
            <rFont val="Arial"/>
            <family val="2"/>
          </rPr>
          <t xml:space="preserve">Confidencial. Visível apenas à equipa interna da plataforma, nunca à farmácia.
Opcional. Opcional e confidencial — nunca é mostrado à farmácia nem a outros fornecedores. Uso interno apenas.</t>
        </r>
      </text>
    </comment>
    <comment ref="P2" authorId="0">
      <text>
        <r>
          <rPr>
            <sz val="10"/>
            <rFont val="Arial"/>
            <family val="2"/>
          </rPr>
          <t xml:space="preserve">Controla se a oferta fica visível/activa às farmácias. 'Sem stock' oculta a oferta automaticamente.
OBRIGATÓRIO. Escolher da lista. Controla se a oferta aparece como disponível na aplicação.</t>
        </r>
      </text>
    </comment>
    <comment ref="Q2" authorId="0">
      <text>
        <r>
          <rPr>
            <sz val="10"/>
            <rFont val="Arial"/>
            <family val="2"/>
          </rPr>
          <t xml:space="preserve">Opcional. Usado para avisar a farmácia quando o stock está a esgotar.
Opcional. Opcional. Número inteiro ≥ 0 (em unidades de embalagem).</t>
        </r>
      </text>
    </comment>
    <comment ref="R2" authorId="0">
      <text>
        <r>
          <rPr>
            <sz val="10"/>
            <rFont val="Arial"/>
            <family val="2"/>
          </rPr>
          <t xml:space="preserve">Opcional.
Opcional. Opcional — normalmente o lote muda mais depressa do que a lista de preços. Preencha apenas se gerir preço por lote.</t>
        </r>
      </text>
    </comment>
    <comment ref="S2" authorId="0">
      <text>
        <r>
          <rPr>
            <sz val="10"/>
            <rFont val="Arial"/>
            <family val="2"/>
          </rPr>
          <t xml:space="preserve">Opcional. Se preenchida e já passada, a linha é assinalada como erro na folha Validação.
Opcional. Opcional. Formato de data (não escreva como texto). Deve ser uma data futura.</t>
        </r>
      </text>
    </comment>
    <comment ref="T2" authorId="0">
      <text>
        <r>
          <rPr>
            <sz val="10"/>
            <rFont val="Arial"/>
            <family val="2"/>
          </rPr>
          <t xml:space="preserve">Opcional.
Opcional. Opcional. Número inteiro ≥ 0. Deixe em branco ou 0 se não houver mínimo.</t>
        </r>
      </text>
    </comment>
    <comment ref="U2" authorId="0">
      <text>
        <r>
          <rPr>
            <sz val="10"/>
            <rFont val="Arial"/>
            <family val="2"/>
          </rPr>
          <t xml:space="preserve">Se USD, o sistema converte para MZN à taxa de câmbio vigente no carregamento (taxa registada, não fixa).
OBRIGATÓRIO. Escolher da lista. MZN é o padrão; use USD apenas se os preços acima estiverem mesmo em dólares.</t>
        </r>
      </text>
    </comment>
    <comment ref="V2" authorId="0">
      <text>
        <r>
          <rPr>
            <sz val="10"/>
            <rFont val="Arial"/>
            <family val="2"/>
          </rPr>
          <t xml:space="preserve">Antes desta data, o preço anterior mantém-se activo; nesta data, o novo preço substitui-o automaticamente.
OBRIGATÓRIO. Data em que este preço passa a valer. Use uma data (não texto).</t>
        </r>
      </text>
    </comment>
    <comment ref="W2" authorId="0">
      <text>
        <r>
          <rPr>
            <sz val="10"/>
            <rFont val="Arial"/>
            <family val="2"/>
          </rPr>
          <t xml:space="preserve">Opcional, apenas informativo.
Opcional. Opcional, texto livre.</t>
        </r>
      </text>
    </comment>
  </commentList>
</comments>
</file>

<file path=xl/sharedStrings.xml><?xml version="1.0" encoding="utf-8"?>
<sst xmlns="http://schemas.openxmlformats.org/spreadsheetml/2006/main" count="299" uniqueCount="212">
  <si>
    <t xml:space="preserve">Lista de Preços do Fornecedor — Instruções de Preenchimento</t>
  </si>
  <si>
    <t xml:space="preserve">Este ficheiro permite enviar-nos a sua lista de preços de forma que possa ser carregada automaticamente no sistema — sem reformatação manual — e ficar visível às farmácias.</t>
  </si>
  <si>
    <t xml:space="preserve">1. Como preencher</t>
  </si>
  <si>
    <t xml:space="preserve">• Preencha apenas a folha "Lista de Preços". Não altere as folhas "Validação" e "Dicionário".</t>
  </si>
  <si>
    <t xml:space="preserve">• Não altere as linhas 1 e 2 (cabeçalhos) nem os nomes das folhas.</t>
  </si>
  <si>
    <t xml:space="preserve">• A linha 3 é um EXEMPLO preenchido, a título ilustrativo — apague-a antes de nos devolver o ficheiro.</t>
  </si>
  <si>
    <t xml:space="preserve">• Cada linha = um produto. Comece a preencher a partir da linha 4.</t>
  </si>
  <si>
    <t xml:space="preserve">• Para actualizar um produto já enviado antes, mantenha o mesmo "Código do Fornecedor (SKU)" — é essa coluna que o sistema usa para saber que é o mesmo produto.</t>
  </si>
  <si>
    <t xml:space="preserve">2. Campos obrigatórios e opcionais</t>
  </si>
  <si>
    <t xml:space="preserve">Os cabeçalhos das colunas obrigatórias têm fundo amarelo claro; os opcionais têm fundo cinzento claro. A lista completa, com o significado e as regras de cada coluna, está na folha "Dicionário".</t>
  </si>
  <si>
    <t xml:space="preserve">Colunas obrigatórias nesta versão: Código do Fornecedor, Nome Comercial, Nome Científico (DCI), Forma Farmacêutica, Dosagem, Unidades por Embalagem, Preço à Farmácia, Preço ao Público (PVP), Estado de Stock, Moeda, Válido a partir de.</t>
  </si>
  <si>
    <t xml:space="preserve">3. O que o sistema faz com cada coluna (resumo)</t>
  </si>
  <si>
    <t xml:space="preserve">• Código do Fornecedor (SKU) — chave de identificação: decide se um produto é novo ou uma actualização.</t>
  </si>
  <si>
    <t xml:space="preserve">• Nome Científico (DCI), Dosagem, Forma, Fabricante, AIM, Código de Barras — usados para encontrar o produto correspondente no Índice de Medicamentos de Moçambique (correspondência automática ou revisão manual).</t>
  </si>
  <si>
    <t xml:space="preserve">• Preço à Farmácia / Preço ao Público — para medicamentos com preço fixado por lei, o preço final mostrado é o preço oficial do Índice, não o valor desta folha; para produtos de preço livre (não-medicamentos), o valor desta folha é o que vale.</t>
  </si>
  <si>
    <t xml:space="preserve">• Desconto do Fornecedor — aplicado sobre o Preço à Farmácia, nunca sobre o PVP.</t>
  </si>
  <si>
    <t xml:space="preserve">• Custo (Confidencial) — nunca é mostrado à farmácia; uso interno da plataforma apenas.</t>
  </si>
  <si>
    <t xml:space="preserve">• Estado de Stock — "Sem stock" retira automaticamente a oferta da aplicação; "Em stock" torna-a visível.</t>
  </si>
  <si>
    <t xml:space="preserve">• Válido a partir de — controla quando o novo preço substitui o anterior; encomendas já em curso não são alteradas retroactivamente.</t>
  </si>
  <si>
    <t xml:space="preserve">4. Erros comuns a evitar</t>
  </si>
  <si>
    <t xml:space="preserve">• Escrever preços como texto (ex: "185 MT") em vez de número (ex: 185).</t>
  </si>
  <si>
    <t xml:space="preserve">• Usar vírgula decimal e ponto de milhares trocados — confirme que o Excel está a ler o número correctamente.</t>
  </si>
  <si>
    <t xml:space="preserve">• Datas escritas como texto livre (ex: "15 Set") em vez de uma data reconhecida pelo Excel.</t>
  </si>
  <si>
    <t xml:space="preserve">• Preço à Farmácia maior do que o Preço ao Público — não deixa margem para a farmácia e é assinalado como erro.</t>
  </si>
  <si>
    <t xml:space="preserve">• Códigos de Fornecedor (SKU) repetidos em duas linhas diferentes.</t>
  </si>
  <si>
    <t xml:space="preserve">• Deixar campos obrigatórios em branco.</t>
  </si>
  <si>
    <t xml:space="preserve">5. Antes de enviar — verifique a folha "Validação"</t>
  </si>
  <si>
    <t xml:space="preserve">A folha "Validação" verifica automaticamente a sua lista e mostra um resumo de erros no topo. Corrija tudo o que aparecer como erro antes de enviar — um ficheiro com erros não é carregado automaticamente, é devolvido com o relatório do que falta corrigir.</t>
  </si>
  <si>
    <t xml:space="preserve">6. Como enviar de volta</t>
  </si>
  <si>
    <t xml:space="preserve">• Guarde o ficheiro em formato Excel (.xlsx) — não converta para .csv.</t>
  </si>
  <si>
    <t xml:space="preserve">• Não mude o nome das folhas nem a ordem das colunas.</t>
  </si>
  <si>
    <t xml:space="preserve">• Envie o ficheiro pelo mesmo canal (email/WhatsApp) combinado com a nossa equipa.</t>
  </si>
  <si>
    <t xml:space="preserve">• Da primeira vez que enviar no seu próprio formato, a nossa equipa memoriza como as suas colunas correspondem às nossas — nos envios seguintes, mesmo que continue a usar o seu próprio ficheiro, o carregamento continua a ser automático.</t>
  </si>
  <si>
    <t xml:space="preserve">Dúvidas? Contacte a equipa que lhe enviou este ficheiro.</t>
  </si>
  <si>
    <t xml:space="preserve">Código do Fornecedor (SKU)  *</t>
  </si>
  <si>
    <t xml:space="preserve">Nome Comercial  *</t>
  </si>
  <si>
    <t xml:space="preserve">Nome Científico (DCI)  *</t>
  </si>
  <si>
    <t xml:space="preserve">Forma Farmacêutica  *</t>
  </si>
  <si>
    <t xml:space="preserve">Dosagem  *</t>
  </si>
  <si>
    <t xml:space="preserve">Unidades por Embalagem  *</t>
  </si>
  <si>
    <t xml:space="preserve">Unidade da Embalagem</t>
  </si>
  <si>
    <t xml:space="preserve">Fabricante</t>
  </si>
  <si>
    <t xml:space="preserve">País de Origem</t>
  </si>
  <si>
    <t xml:space="preserve">Número AIM</t>
  </si>
  <si>
    <t xml:space="preserve">Código de Barras</t>
  </si>
  <si>
    <t xml:space="preserve">Preço à Farmácia (MZN)  *</t>
  </si>
  <si>
    <t xml:space="preserve">Preço ao Público / PVP (MZN)  *</t>
  </si>
  <si>
    <t xml:space="preserve">Desconto do Fornecedor (%)</t>
  </si>
  <si>
    <t xml:space="preserve">Custo (Confidencial)</t>
  </si>
  <si>
    <t xml:space="preserve">Estado de Stock  *</t>
  </si>
  <si>
    <t xml:space="preserve">Quantidade Disponível</t>
  </si>
  <si>
    <t xml:space="preserve">Número de Lote</t>
  </si>
  <si>
    <t xml:space="preserve">Data de Validade</t>
  </si>
  <si>
    <t xml:space="preserve">Quantidade Mínima de Encomenda</t>
  </si>
  <si>
    <t xml:space="preserve">Moeda  *</t>
  </si>
  <si>
    <t xml:space="preserve">Válido a partir de  *</t>
  </si>
  <si>
    <t xml:space="preserve">Observações</t>
  </si>
  <si>
    <t xml:space="preserve">LEGENDA</t>
  </si>
  <si>
    <t xml:space="preserve">vendor_sku</t>
  </si>
  <si>
    <t xml:space="preserve">product_name_brand</t>
  </si>
  <si>
    <t xml:space="preserve">product_name_inn</t>
  </si>
  <si>
    <t xml:space="preserve">form</t>
  </si>
  <si>
    <t xml:space="preserve">strength</t>
  </si>
  <si>
    <t xml:space="preserve">pack_size</t>
  </si>
  <si>
    <t xml:space="preserve">pack_unit</t>
  </si>
  <si>
    <t xml:space="preserve">manufacturer</t>
  </si>
  <si>
    <t xml:space="preserve">country_of_origin</t>
  </si>
  <si>
    <t xml:space="preserve">aim_number</t>
  </si>
  <si>
    <t xml:space="preserve">barcode</t>
  </si>
  <si>
    <t xml:space="preserve">price_to_pharmacy</t>
  </si>
  <si>
    <t xml:space="preserve">price_to_public</t>
  </si>
  <si>
    <t xml:space="preserve">discount_percent</t>
  </si>
  <si>
    <t xml:space="preserve">cost_to_us</t>
  </si>
  <si>
    <t xml:space="preserve">stock_status</t>
  </si>
  <si>
    <t xml:space="preserve">available_quantity</t>
  </si>
  <si>
    <t xml:space="preserve">batch_number</t>
  </si>
  <si>
    <t xml:space="preserve">expiry_date</t>
  </si>
  <si>
    <t xml:space="preserve">min_order_qty</t>
  </si>
  <si>
    <t xml:space="preserve">currency</t>
  </si>
  <si>
    <t xml:space="preserve">effective_from</t>
  </si>
  <si>
    <t xml:space="preserve">notes</t>
  </si>
  <si>
    <t xml:space="preserve">* = campo obrigatório</t>
  </si>
  <si>
    <t xml:space="preserve">AH-AMX500-24</t>
  </si>
  <si>
    <t xml:space="preserve">Amoxil 500mg</t>
  </si>
  <si>
    <t xml:space="preserve">Amoxicilina</t>
  </si>
  <si>
    <t xml:space="preserve">Cápsula</t>
  </si>
  <si>
    <t xml:space="preserve">500mg</t>
  </si>
  <si>
    <t xml:space="preserve">cápsulas</t>
  </si>
  <si>
    <t xml:space="preserve">GlaxoSmithKline</t>
  </si>
  <si>
    <t xml:space="preserve">Índia</t>
  </si>
  <si>
    <t xml:space="preserve">AIM-MZ-004521</t>
  </si>
  <si>
    <t xml:space="preserve">7891234567895</t>
  </si>
  <si>
    <t xml:space="preserve">Em stock</t>
  </si>
  <si>
    <t xml:space="preserve">L2026-0912</t>
  </si>
  <si>
    <t xml:space="preserve">MZN</t>
  </si>
  <si>
    <t xml:space="preserve">Promoção de lançamento</t>
  </si>
  <si>
    <t xml:space="preserve">Linha verde = exemplo, apagar</t>
  </si>
  <si>
    <t xml:space="preserve">Linha vermelha = falta campo obrigatório</t>
  </si>
  <si>
    <t xml:space="preserve">Ver folha Validação para lista completa de erros</t>
  </si>
  <si>
    <t xml:space="preserve">Resumo de Validação — Lista de Preços</t>
  </si>
  <si>
    <t xml:space="preserve">Métrica</t>
  </si>
  <si>
    <t xml:space="preserve">Valor</t>
  </si>
  <si>
    <t xml:space="preserve">Descrição</t>
  </si>
  <si>
    <t xml:space="preserve">Total de linhas com dados</t>
  </si>
  <si>
    <t xml:space="preserve">Número de linhas na Lista de Preços com pelo menos um campo preenchido (excluindo cabeçalhos e exemplo).</t>
  </si>
  <si>
    <t xml:space="preserve">Linhas com campo obrigatório em falta</t>
  </si>
  <si>
    <t xml:space="preserve">Falta pelo menos um dos campos obrigatórios marcados com * na Lista de Preços.</t>
  </si>
  <si>
    <t xml:space="preserve">Preços não numéricos</t>
  </si>
  <si>
    <t xml:space="preserve">Preço à Farmácia ou Preço ao Público preenchido com texto em vez de número.</t>
  </si>
  <si>
    <t xml:space="preserve">Preço à Farmácia &gt; Preço ao Público</t>
  </si>
  <si>
    <t xml:space="preserve">Não sobra margem para a farmácia — preço à farmácia não pode exceder o PVP.</t>
  </si>
  <si>
    <t xml:space="preserve">Datas de validade já passadas</t>
  </si>
  <si>
    <t xml:space="preserve">Data de Validade preenchida é anterior à data de hoje.</t>
  </si>
  <si>
    <t xml:space="preserve">Código de Fornecedor (SKU) duplicado</t>
  </si>
  <si>
    <t xml:space="preserve">O mesmo Código do Fornecedor aparece em mais do que uma linha.</t>
  </si>
  <si>
    <t xml:space="preserve">Desconto fora do intervalo razoável (0%-50%)</t>
  </si>
  <si>
    <t xml:space="preserve">Desconto do Fornecedor negativo ou acima de 50%.</t>
  </si>
  <si>
    <t xml:space="preserve">Linhas totalmente válidas (OK)</t>
  </si>
  <si>
    <t xml:space="preserve">Linhas que passaram em todas as verificações acima.</t>
  </si>
  <si>
    <t xml:space="preserve">TOTAL DE ERROS A CORRIGIR</t>
  </si>
  <si>
    <t xml:space="preserve">Some as linhas assinaladas como ERRO nas colunas abaixo antes de devolver o ficheiro.</t>
  </si>
  <si>
    <t xml:space="preserve">Código Fornecedor (ref.)</t>
  </si>
  <si>
    <t xml:space="preserve">Nome Comercial (ref.)</t>
  </si>
  <si>
    <t xml:space="preserve">Campo obrigatório em falta</t>
  </si>
  <si>
    <t xml:space="preserve">Preço não numérico</t>
  </si>
  <si>
    <t xml:space="preserve">Preço Farmácia &gt; PVP</t>
  </si>
  <si>
    <t xml:space="preserve">Data de validade passada</t>
  </si>
  <si>
    <t xml:space="preserve">SKU duplicado</t>
  </si>
  <si>
    <t xml:space="preserve">Desconto fora do intervalo</t>
  </si>
  <si>
    <t xml:space="preserve">Estado da Linha</t>
  </si>
  <si>
    <t xml:space="preserve">Rótulo (Português)</t>
  </si>
  <si>
    <t xml:space="preserve">Identificador (English)</t>
  </si>
  <si>
    <t xml:space="preserve">التسمية (عربي)</t>
  </si>
  <si>
    <t xml:space="preserve">Tipo</t>
  </si>
  <si>
    <t xml:space="preserve">Obrigatório / Opcional</t>
  </si>
  <si>
    <t xml:space="preserve">Regras</t>
  </si>
  <si>
    <t xml:space="preserve">Exemplo</t>
  </si>
  <si>
    <t xml:space="preserve">Código do Fornecedor (SKU)</t>
  </si>
  <si>
    <t xml:space="preserve">رمز المورد (SKU)</t>
  </si>
  <si>
    <t xml:space="preserve">Texto</t>
  </si>
  <si>
    <t xml:space="preserve">Obrigatório</t>
  </si>
  <si>
    <t xml:space="preserve">Texto/código único e estável por produto. É a CHAVE usada para actualizar preços em envios futuros — não mude o código de um produto já enviado antes.</t>
  </si>
  <si>
    <t xml:space="preserve">Nome Comercial</t>
  </si>
  <si>
    <t xml:space="preserve">الاسم التجاري</t>
  </si>
  <si>
    <t xml:space="preserve">Nome comercial/de marca tal como aparece na embalagem.</t>
  </si>
  <si>
    <t xml:space="preserve">Nome Científico (DCI)</t>
  </si>
  <si>
    <t xml:space="preserve">الاسم العلمي (DCI/INN)</t>
  </si>
  <si>
    <t xml:space="preserve">Denominação Comum Internacional (DCI/INN). Obrigatório mesmo quando igual ao nome comercial.</t>
  </si>
  <si>
    <t xml:space="preserve">Forma Farmacêutica</t>
  </si>
  <si>
    <t xml:space="preserve">الشكل الصيدلاني</t>
  </si>
  <si>
    <t xml:space="preserve">Lista (menu suspenso)</t>
  </si>
  <si>
    <t xml:space="preserve">Escolher da lista (menu suspenso). Opções: Comprimido, Cápsula, Xarope, Injectável, Pomada, Creme, Gotas, Supositório, Pó, Solução, Outro.</t>
  </si>
  <si>
    <t xml:space="preserve">Dosagem</t>
  </si>
  <si>
    <t xml:space="preserve">التركيز/الجرعة</t>
  </si>
  <si>
    <t xml:space="preserve">Texto livre, com unidade incluída (ex: 500mg, 250mg/5ml).</t>
  </si>
  <si>
    <t xml:space="preserve">Unidades por Embalagem</t>
  </si>
  <si>
    <t xml:space="preserve">عدد الوحدات في العبوة</t>
  </si>
  <si>
    <t xml:space="preserve">Número (inteiro)</t>
  </si>
  <si>
    <t xml:space="preserve">Número inteiro positivo (quantas unidades/comprimidos/ml existem numa embalagem de venda).</t>
  </si>
  <si>
    <t xml:space="preserve">24</t>
  </si>
  <si>
    <t xml:space="preserve">وحدة العبوة</t>
  </si>
  <si>
    <t xml:space="preserve">Opcional</t>
  </si>
  <si>
    <t xml:space="preserve">Escolher da lista. Opcional mas recomendado — sem isto o sistema assume 'unidades'. Opções: comprimidos, cápsulas, ml, g, ampolas, frascos, unidades.</t>
  </si>
  <si>
    <t xml:space="preserve">الشركة المصنعة</t>
  </si>
  <si>
    <t xml:space="preserve">Opcional, mas melhora a precisão do pareamento com o Índice quando há várias marcas do mesmo genérico.</t>
  </si>
  <si>
    <t xml:space="preserve">بلد المنشأ</t>
  </si>
  <si>
    <t xml:space="preserve">Opcional.</t>
  </si>
  <si>
    <t xml:space="preserve">رقم التسجيل (AIM)</t>
  </si>
  <si>
    <t xml:space="preserve">Número de Autorização de Introdução no Mercado (ANARME), quando exista. Deixe em branco se não souber.</t>
  </si>
  <si>
    <t xml:space="preserve">الباركود</t>
  </si>
  <si>
    <t xml:space="preserve">EAN/UPC da embalagem, se existir.</t>
  </si>
  <si>
    <t xml:space="preserve">Preço à Farmácia (MZN)</t>
  </si>
  <si>
    <t xml:space="preserve">السعر للصيدلية (MZN)</t>
  </si>
  <si>
    <t xml:space="preserve">Número (decimal)</t>
  </si>
  <si>
    <t xml:space="preserve">Número positivo, em Meticais (MZN), sem símbolos. Use ponto ou o separador decimal do Excel — não escreva texto.</t>
  </si>
  <si>
    <t xml:space="preserve">185.0</t>
  </si>
  <si>
    <t xml:space="preserve">Preço ao Público / PVP (MZN)</t>
  </si>
  <si>
    <t xml:space="preserve">السعر للجمهور PVP (MZN)</t>
  </si>
  <si>
    <t xml:space="preserve">Número positivo, em Meticais (MZN). Para medicamentos, deve corresponder ao PVP fixado (Diploma Ministerial 21/2017); para produtos de preço livre, é o preço de venda sugerido.</t>
  </si>
  <si>
    <t xml:space="preserve">249.0</t>
  </si>
  <si>
    <t xml:space="preserve">نسبة الخصم من المورد (%)</t>
  </si>
  <si>
    <t xml:space="preserve">Percentagem</t>
  </si>
  <si>
    <t xml:space="preserve">Opcional. Percentagem entre 0% e 50%, aplicada sobre o Preço à Farmácia.</t>
  </si>
  <si>
    <t xml:space="preserve">0.05</t>
  </si>
  <si>
    <t xml:space="preserve">التكلفة (سرّي)</t>
  </si>
  <si>
    <t xml:space="preserve">Opcional e confidencial — nunca é mostrado à farmácia nem a outros fornecedores. Uso interno apenas.</t>
  </si>
  <si>
    <t xml:space="preserve">150.0</t>
  </si>
  <si>
    <t xml:space="preserve">Estado de Stock</t>
  </si>
  <si>
    <t xml:space="preserve">حالة المخزون</t>
  </si>
  <si>
    <t xml:space="preserve">Escolher da lista. Controla se a oferta aparece como disponível na aplicação. Opções: Em stock, Sem stock, Sob encomenda.</t>
  </si>
  <si>
    <t xml:space="preserve">الكمية المتاحة</t>
  </si>
  <si>
    <t xml:space="preserve">Opcional. Número inteiro ≥ 0 (em unidades de embalagem).</t>
  </si>
  <si>
    <t xml:space="preserve">120</t>
  </si>
  <si>
    <t xml:space="preserve">رقم الدفعة (Batch)</t>
  </si>
  <si>
    <t xml:space="preserve">Opcional — normalmente o lote muda mais depressa do que a lista de preços. Preencha apenas se gerir preço por lote.</t>
  </si>
  <si>
    <t xml:space="preserve">تاريخ انتهاء الصلاحية</t>
  </si>
  <si>
    <t xml:space="preserve">Data</t>
  </si>
  <si>
    <t xml:space="preserve">Opcional. Formato de data (não escreva como texto). Deve ser uma data futura.</t>
  </si>
  <si>
    <t xml:space="preserve">2027-06-30</t>
  </si>
  <si>
    <t xml:space="preserve">أدنى كمية للطلب</t>
  </si>
  <si>
    <t xml:space="preserve">Opcional. Número inteiro ≥ 0. Deixe em branco ou 0 se não houver mínimo.</t>
  </si>
  <si>
    <t xml:space="preserve">1</t>
  </si>
  <si>
    <t xml:space="preserve">Moeda</t>
  </si>
  <si>
    <t xml:space="preserve">العملة</t>
  </si>
  <si>
    <t xml:space="preserve">Escolher da lista. MZN é o padrão; use USD apenas se os preços acima estiverem mesmo em dólares. Opções: MZN, USD.</t>
  </si>
  <si>
    <t xml:space="preserve">Válido a partir de</t>
  </si>
  <si>
    <t xml:space="preserve">ساري اعتباراً من</t>
  </si>
  <si>
    <t xml:space="preserve">Data em que este preço passa a valer. Use uma data (não texto).</t>
  </si>
  <si>
    <t xml:space="preserve">2026-09-15</t>
  </si>
  <si>
    <t xml:space="preserve">ملاحظات</t>
  </si>
  <si>
    <t xml:space="preserve">Opcional, texto livre.</t>
  </si>
  <si>
    <t xml:space="preserve">Nota: para produtos medicamentosos com preço regulado pelo Estado (Diploma Ministerial 21/2017), o Preço ao Público (PVP) final é o do Índice de Medicamentos, não o valor desta folha — ver a especificação de importação para o processo completo.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</si>
</sst>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yyyy\-mm\-dd"/>
    <numFmt numFmtId="168" formatCode="#,##0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404040"/>
      </patternFill>
    </fill>
    <fill>
      <patternFill patternType="solid">
        <fgColor rgb="FFD9E2E8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8CBAD"/>
        <bgColor rgb="FFD9E2E8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true" indent="0" shrinkToFit="false" readingOrder="2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2E7D32"/>
      <rgbColor rgb="FF003300"/>
      <rgbColor rgb="FF333300"/>
      <rgbColor rgb="FFC62828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A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5.5" hidden="false" customHeight="true" outlineLevel="0" collapsed="false">
      <c r="A1" s="2" t="s">
        <v>0</v>
      </c>
    </row>
    <row r="2" customFormat="false" ht="6" hidden="false" customHeight="true" outlineLevel="0" collapsed="false"/>
    <row r="3" customFormat="false" ht="15" hidden="false" customHeight="true" outlineLevel="0" collapsed="false">
      <c r="A3" s="3" t="s">
        <v>1</v>
      </c>
    </row>
    <row r="4" customFormat="false" ht="6" hidden="false" customHeight="true" outlineLevel="0" collapsed="false"/>
    <row r="5" customFormat="false" ht="15.7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6" hidden="false" customHeight="true" outlineLevel="0" collapsed="false"/>
    <row r="12" customFormat="false" ht="15.7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6" hidden="false" customHeight="true" outlineLevel="0" collapsed="false"/>
    <row r="16" customFormat="false" ht="15.7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6" hidden="false" customHeight="true" outlineLevel="0" collapsed="false"/>
    <row r="25" customFormat="false" ht="15.75" hidden="false" customHeight="true" outlineLevel="0" collapsed="false">
      <c r="A25" s="4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  <row r="32" customFormat="false" ht="6" hidden="false" customHeight="true" outlineLevel="0" collapsed="false"/>
    <row r="33" customFormat="false" ht="15.75" hidden="false" customHeight="true" outlineLevel="0" collapsed="false">
      <c r="A33" s="4" t="s">
        <v>26</v>
      </c>
    </row>
    <row r="34" customFormat="false" ht="15" hidden="false" customHeight="true" outlineLevel="0" collapsed="false">
      <c r="A34" s="3" t="s">
        <v>27</v>
      </c>
    </row>
    <row r="35" customFormat="false" ht="6" hidden="false" customHeight="true" outlineLevel="0" collapsed="false"/>
    <row r="36" customFormat="false" ht="15.75" hidden="false" customHeight="true" outlineLevel="0" collapsed="false">
      <c r="A36" s="4" t="s">
        <v>28</v>
      </c>
    </row>
    <row r="37" customFormat="false" ht="15" hidden="false" customHeight="true" outlineLevel="0" collapsed="false">
      <c r="A37" s="3" t="s">
        <v>29</v>
      </c>
    </row>
    <row r="38" customFormat="false" ht="15" hidden="false" customHeight="true" outlineLevel="0" collapsed="false">
      <c r="A38" s="3" t="s">
        <v>30</v>
      </c>
    </row>
    <row r="39" customFormat="false" ht="15" hidden="false" customHeight="true" outlineLevel="0" collapsed="false">
      <c r="A39" s="3" t="s">
        <v>31</v>
      </c>
    </row>
    <row r="40" customFormat="false" ht="15" hidden="false" customHeight="true" outlineLevel="0" collapsed="false">
      <c r="A40" s="3" t="s">
        <v>32</v>
      </c>
    </row>
    <row r="41" customFormat="false" ht="6" hidden="false" customHeight="true" outlineLevel="0" collapsed="false"/>
    <row r="42" customFormat="false" ht="15" hidden="false" customHeight="true" outlineLevel="0" collapsed="false">
      <c r="A42" s="5" t="s">
        <v>33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Z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20"/>
    <col collapsed="false" customWidth="true" hidden="false" outlineLevel="0" max="12" min="12" style="1" width="26"/>
    <col collapsed="false" customWidth="true" hidden="false" outlineLevel="0" max="14" min="13" style="1" width="30"/>
    <col collapsed="false" customWidth="true" hidden="false" outlineLevel="0" max="15" min="15" style="1" width="24"/>
    <col collapsed="false" customWidth="true" hidden="false" outlineLevel="0" max="16" min="16" style="1" width="19"/>
    <col collapsed="false" customWidth="true" hidden="false" outlineLevel="0" max="17" min="17" style="1" width="25"/>
    <col collapsed="false" customWidth="true" hidden="false" outlineLevel="0" max="18" min="18" style="1" width="18"/>
    <col collapsed="false" customWidth="true" hidden="false" outlineLevel="0" max="19" min="19" style="1" width="20"/>
    <col collapsed="false" customWidth="true" hidden="false" outlineLevel="0" max="20" min="20" style="1" width="30"/>
    <col collapsed="false" customWidth="true" hidden="false" outlineLevel="0" max="21" min="21" style="1" width="14"/>
    <col collapsed="false" customWidth="true" hidden="false" outlineLevel="0" max="22" min="22" style="1" width="22"/>
    <col collapsed="false" customWidth="true" hidden="false" outlineLevel="0" max="23" min="23" style="1" width="26"/>
    <col collapsed="false" customWidth="true" hidden="false" outlineLevel="0" max="26" min="26" style="1" width="32"/>
  </cols>
  <sheetData>
    <row r="1" customFormat="false" ht="33.75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Z1" s="7" t="s">
        <v>57</v>
      </c>
    </row>
    <row r="2" customFormat="false" ht="15.75" hidden="false" customHeight="true" outlineLevel="0" collapsed="false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64</v>
      </c>
      <c r="H2" s="8" t="s">
        <v>65</v>
      </c>
      <c r="I2" s="8" t="s">
        <v>66</v>
      </c>
      <c r="J2" s="8" t="s">
        <v>67</v>
      </c>
      <c r="K2" s="8" t="s">
        <v>68</v>
      </c>
      <c r="L2" s="8" t="s">
        <v>69</v>
      </c>
      <c r="M2" s="8" t="s">
        <v>70</v>
      </c>
      <c r="N2" s="8" t="s">
        <v>71</v>
      </c>
      <c r="O2" s="8" t="s">
        <v>72</v>
      </c>
      <c r="P2" s="8" t="s">
        <v>73</v>
      </c>
      <c r="Q2" s="8" t="s">
        <v>74</v>
      </c>
      <c r="R2" s="8" t="s">
        <v>75</v>
      </c>
      <c r="S2" s="8" t="s">
        <v>76</v>
      </c>
      <c r="T2" s="8" t="s">
        <v>77</v>
      </c>
      <c r="U2" s="8" t="s">
        <v>78</v>
      </c>
      <c r="V2" s="8" t="s">
        <v>79</v>
      </c>
      <c r="W2" s="8" t="s">
        <v>80</v>
      </c>
      <c r="Z2" s="9" t="s">
        <v>81</v>
      </c>
    </row>
    <row r="3" customFormat="false" ht="15.75" hidden="false" customHeight="true" outlineLevel="0" collapsed="false">
      <c r="A3" s="10" t="s">
        <v>82</v>
      </c>
      <c r="B3" s="10" t="s">
        <v>83</v>
      </c>
      <c r="C3" s="10" t="s">
        <v>84</v>
      </c>
      <c r="D3" s="10" t="s">
        <v>85</v>
      </c>
      <c r="E3" s="10" t="s">
        <v>86</v>
      </c>
      <c r="F3" s="10" t="n">
        <v>24</v>
      </c>
      <c r="G3" s="10" t="s">
        <v>87</v>
      </c>
      <c r="H3" s="10" t="s">
        <v>88</v>
      </c>
      <c r="I3" s="10" t="s">
        <v>89</v>
      </c>
      <c r="J3" s="10" t="s">
        <v>90</v>
      </c>
      <c r="K3" s="10" t="s">
        <v>91</v>
      </c>
      <c r="L3" s="11" t="n">
        <v>185</v>
      </c>
      <c r="M3" s="11" t="n">
        <v>249</v>
      </c>
      <c r="N3" s="12" t="n">
        <v>0.05</v>
      </c>
      <c r="O3" s="11" t="n">
        <v>150</v>
      </c>
      <c r="P3" s="10" t="s">
        <v>92</v>
      </c>
      <c r="Q3" s="10" t="n">
        <v>120</v>
      </c>
      <c r="R3" s="10" t="s">
        <v>93</v>
      </c>
      <c r="S3" s="13" t="n">
        <v>46568</v>
      </c>
      <c r="T3" s="10" t="n">
        <v>1</v>
      </c>
      <c r="U3" s="10" t="s">
        <v>94</v>
      </c>
      <c r="V3" s="13" t="n">
        <v>46280</v>
      </c>
      <c r="W3" s="10" t="s">
        <v>95</v>
      </c>
      <c r="Z3" s="9" t="s">
        <v>96</v>
      </c>
    </row>
    <row r="4" customFormat="false" ht="15" hidden="false" customHeight="false" outlineLevel="0" collapsed="false">
      <c r="A4" s="14"/>
      <c r="B4" s="14"/>
      <c r="C4" s="14"/>
      <c r="D4" s="14"/>
      <c r="E4" s="14"/>
      <c r="F4" s="15"/>
      <c r="G4" s="14"/>
      <c r="H4" s="14"/>
      <c r="I4" s="14"/>
      <c r="J4" s="14"/>
      <c r="K4" s="14"/>
      <c r="L4" s="16"/>
      <c r="M4" s="16"/>
      <c r="N4" s="17"/>
      <c r="O4" s="16"/>
      <c r="P4" s="14"/>
      <c r="Q4" s="15"/>
      <c r="R4" s="14"/>
      <c r="S4" s="18"/>
      <c r="T4" s="15"/>
      <c r="U4" s="14"/>
      <c r="V4" s="18"/>
      <c r="W4" s="14"/>
      <c r="Z4" s="19" t="s">
        <v>97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5"/>
      <c r="G5" s="14"/>
      <c r="H5" s="14"/>
      <c r="I5" s="14"/>
      <c r="J5" s="14"/>
      <c r="K5" s="14"/>
      <c r="L5" s="16"/>
      <c r="M5" s="16"/>
      <c r="N5" s="17"/>
      <c r="O5" s="16"/>
      <c r="P5" s="14"/>
      <c r="Q5" s="15"/>
      <c r="R5" s="14"/>
      <c r="S5" s="18"/>
      <c r="T5" s="15"/>
      <c r="U5" s="14"/>
      <c r="V5" s="18"/>
      <c r="W5" s="14"/>
      <c r="Z5" s="20" t="s">
        <v>98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5"/>
      <c r="G6" s="14"/>
      <c r="H6" s="14"/>
      <c r="I6" s="14"/>
      <c r="J6" s="14"/>
      <c r="K6" s="14"/>
      <c r="L6" s="16"/>
      <c r="M6" s="16"/>
      <c r="N6" s="17"/>
      <c r="O6" s="16"/>
      <c r="P6" s="14"/>
      <c r="Q6" s="15"/>
      <c r="R6" s="14"/>
      <c r="S6" s="18"/>
      <c r="T6" s="15"/>
      <c r="U6" s="14"/>
      <c r="V6" s="18"/>
      <c r="W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5"/>
      <c r="G7" s="14"/>
      <c r="H7" s="14"/>
      <c r="I7" s="14"/>
      <c r="J7" s="14"/>
      <c r="K7" s="14"/>
      <c r="L7" s="16"/>
      <c r="M7" s="16"/>
      <c r="N7" s="17"/>
      <c r="O7" s="16"/>
      <c r="P7" s="14"/>
      <c r="Q7" s="15"/>
      <c r="R7" s="14"/>
      <c r="S7" s="18"/>
      <c r="T7" s="15"/>
      <c r="U7" s="14"/>
      <c r="V7" s="18"/>
      <c r="W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5"/>
      <c r="G8" s="14"/>
      <c r="H8" s="14"/>
      <c r="I8" s="14"/>
      <c r="J8" s="14"/>
      <c r="K8" s="14"/>
      <c r="L8" s="16"/>
      <c r="M8" s="16"/>
      <c r="N8" s="17"/>
      <c r="O8" s="16"/>
      <c r="P8" s="14"/>
      <c r="Q8" s="15"/>
      <c r="R8" s="14"/>
      <c r="S8" s="18"/>
      <c r="T8" s="15"/>
      <c r="U8" s="14"/>
      <c r="V8" s="18"/>
      <c r="W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5"/>
      <c r="G9" s="14"/>
      <c r="H9" s="14"/>
      <c r="I9" s="14"/>
      <c r="J9" s="14"/>
      <c r="K9" s="14"/>
      <c r="L9" s="16"/>
      <c r="M9" s="16"/>
      <c r="N9" s="17"/>
      <c r="O9" s="16"/>
      <c r="P9" s="14"/>
      <c r="Q9" s="15"/>
      <c r="R9" s="14"/>
      <c r="S9" s="18"/>
      <c r="T9" s="15"/>
      <c r="U9" s="14"/>
      <c r="V9" s="18"/>
      <c r="W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5"/>
      <c r="G10" s="14"/>
      <c r="H10" s="14"/>
      <c r="I10" s="14"/>
      <c r="J10" s="14"/>
      <c r="K10" s="14"/>
      <c r="L10" s="16"/>
      <c r="M10" s="16"/>
      <c r="N10" s="17"/>
      <c r="O10" s="16"/>
      <c r="P10" s="14"/>
      <c r="Q10" s="15"/>
      <c r="R10" s="14"/>
      <c r="S10" s="18"/>
      <c r="T10" s="15"/>
      <c r="U10" s="14"/>
      <c r="V10" s="18"/>
      <c r="W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5"/>
      <c r="G11" s="14"/>
      <c r="H11" s="14"/>
      <c r="I11" s="14"/>
      <c r="J11" s="14"/>
      <c r="K11" s="14"/>
      <c r="L11" s="16"/>
      <c r="M11" s="16"/>
      <c r="N11" s="17"/>
      <c r="O11" s="16"/>
      <c r="P11" s="14"/>
      <c r="Q11" s="15"/>
      <c r="R11" s="14"/>
      <c r="S11" s="18"/>
      <c r="T11" s="15"/>
      <c r="U11" s="14"/>
      <c r="V11" s="18"/>
      <c r="W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5"/>
      <c r="G12" s="14"/>
      <c r="H12" s="14"/>
      <c r="I12" s="14"/>
      <c r="J12" s="14"/>
      <c r="K12" s="14"/>
      <c r="L12" s="16"/>
      <c r="M12" s="16"/>
      <c r="N12" s="17"/>
      <c r="O12" s="16"/>
      <c r="P12" s="14"/>
      <c r="Q12" s="15"/>
      <c r="R12" s="14"/>
      <c r="S12" s="18"/>
      <c r="T12" s="15"/>
      <c r="U12" s="14"/>
      <c r="V12" s="18"/>
      <c r="W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6"/>
      <c r="M13" s="16"/>
      <c r="N13" s="17"/>
      <c r="O13" s="16"/>
      <c r="P13" s="14"/>
      <c r="Q13" s="15"/>
      <c r="R13" s="14"/>
      <c r="S13" s="18"/>
      <c r="T13" s="15"/>
      <c r="U13" s="14"/>
      <c r="V13" s="18"/>
      <c r="W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6"/>
      <c r="M14" s="16"/>
      <c r="N14" s="17"/>
      <c r="O14" s="16"/>
      <c r="P14" s="14"/>
      <c r="Q14" s="15"/>
      <c r="R14" s="14"/>
      <c r="S14" s="18"/>
      <c r="T14" s="15"/>
      <c r="U14" s="14"/>
      <c r="V14" s="18"/>
      <c r="W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6"/>
      <c r="M15" s="16"/>
      <c r="N15" s="17"/>
      <c r="O15" s="16"/>
      <c r="P15" s="14"/>
      <c r="Q15" s="15"/>
      <c r="R15" s="14"/>
      <c r="S15" s="18"/>
      <c r="T15" s="15"/>
      <c r="U15" s="14"/>
      <c r="V15" s="18"/>
      <c r="W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6"/>
      <c r="M16" s="16"/>
      <c r="N16" s="17"/>
      <c r="O16" s="16"/>
      <c r="P16" s="14"/>
      <c r="Q16" s="15"/>
      <c r="R16" s="14"/>
      <c r="S16" s="18"/>
      <c r="T16" s="15"/>
      <c r="U16" s="14"/>
      <c r="V16" s="18"/>
      <c r="W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6"/>
      <c r="M17" s="16"/>
      <c r="N17" s="17"/>
      <c r="O17" s="16"/>
      <c r="P17" s="14"/>
      <c r="Q17" s="15"/>
      <c r="R17" s="14"/>
      <c r="S17" s="18"/>
      <c r="T17" s="15"/>
      <c r="U17" s="14"/>
      <c r="V17" s="18"/>
      <c r="W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6"/>
      <c r="M18" s="16"/>
      <c r="N18" s="17"/>
      <c r="O18" s="16"/>
      <c r="P18" s="14"/>
      <c r="Q18" s="15"/>
      <c r="R18" s="14"/>
      <c r="S18" s="18"/>
      <c r="T18" s="15"/>
      <c r="U18" s="14"/>
      <c r="V18" s="18"/>
      <c r="W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6"/>
      <c r="M19" s="16"/>
      <c r="N19" s="17"/>
      <c r="O19" s="16"/>
      <c r="P19" s="14"/>
      <c r="Q19" s="15"/>
      <c r="R19" s="14"/>
      <c r="S19" s="18"/>
      <c r="T19" s="15"/>
      <c r="U19" s="14"/>
      <c r="V19" s="18"/>
      <c r="W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5"/>
      <c r="G20" s="14"/>
      <c r="H20" s="14"/>
      <c r="I20" s="14"/>
      <c r="J20" s="14"/>
      <c r="K20" s="14"/>
      <c r="L20" s="16"/>
      <c r="M20" s="16"/>
      <c r="N20" s="17"/>
      <c r="O20" s="16"/>
      <c r="P20" s="14"/>
      <c r="Q20" s="15"/>
      <c r="R20" s="14"/>
      <c r="S20" s="18"/>
      <c r="T20" s="15"/>
      <c r="U20" s="14"/>
      <c r="V20" s="18"/>
      <c r="W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5"/>
      <c r="G21" s="14"/>
      <c r="H21" s="14"/>
      <c r="I21" s="14"/>
      <c r="J21" s="14"/>
      <c r="K21" s="14"/>
      <c r="L21" s="16"/>
      <c r="M21" s="16"/>
      <c r="N21" s="17"/>
      <c r="O21" s="16"/>
      <c r="P21" s="14"/>
      <c r="Q21" s="15"/>
      <c r="R21" s="14"/>
      <c r="S21" s="18"/>
      <c r="T21" s="15"/>
      <c r="U21" s="14"/>
      <c r="V21" s="18"/>
      <c r="W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5"/>
      <c r="G22" s="14"/>
      <c r="H22" s="14"/>
      <c r="I22" s="14"/>
      <c r="J22" s="14"/>
      <c r="K22" s="14"/>
      <c r="L22" s="16"/>
      <c r="M22" s="16"/>
      <c r="N22" s="17"/>
      <c r="O22" s="16"/>
      <c r="P22" s="14"/>
      <c r="Q22" s="15"/>
      <c r="R22" s="14"/>
      <c r="S22" s="18"/>
      <c r="T22" s="15"/>
      <c r="U22" s="14"/>
      <c r="V22" s="18"/>
      <c r="W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5"/>
      <c r="G23" s="14"/>
      <c r="H23" s="14"/>
      <c r="I23" s="14"/>
      <c r="J23" s="14"/>
      <c r="K23" s="14"/>
      <c r="L23" s="16"/>
      <c r="M23" s="16"/>
      <c r="N23" s="17"/>
      <c r="O23" s="16"/>
      <c r="P23" s="14"/>
      <c r="Q23" s="15"/>
      <c r="R23" s="14"/>
      <c r="S23" s="18"/>
      <c r="T23" s="15"/>
      <c r="U23" s="14"/>
      <c r="V23" s="18"/>
      <c r="W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5"/>
      <c r="G24" s="14"/>
      <c r="H24" s="14"/>
      <c r="I24" s="14"/>
      <c r="J24" s="14"/>
      <c r="K24" s="14"/>
      <c r="L24" s="16"/>
      <c r="M24" s="16"/>
      <c r="N24" s="17"/>
      <c r="O24" s="16"/>
      <c r="P24" s="14"/>
      <c r="Q24" s="15"/>
      <c r="R24" s="14"/>
      <c r="S24" s="18"/>
      <c r="T24" s="15"/>
      <c r="U24" s="14"/>
      <c r="V24" s="18"/>
      <c r="W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5"/>
      <c r="G25" s="14"/>
      <c r="H25" s="14"/>
      <c r="I25" s="14"/>
      <c r="J25" s="14"/>
      <c r="K25" s="14"/>
      <c r="L25" s="16"/>
      <c r="M25" s="16"/>
      <c r="N25" s="17"/>
      <c r="O25" s="16"/>
      <c r="P25" s="14"/>
      <c r="Q25" s="15"/>
      <c r="R25" s="14"/>
      <c r="S25" s="18"/>
      <c r="T25" s="15"/>
      <c r="U25" s="14"/>
      <c r="V25" s="18"/>
      <c r="W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5"/>
      <c r="G26" s="14"/>
      <c r="H26" s="14"/>
      <c r="I26" s="14"/>
      <c r="J26" s="14"/>
      <c r="K26" s="14"/>
      <c r="L26" s="16"/>
      <c r="M26" s="16"/>
      <c r="N26" s="17"/>
      <c r="O26" s="16"/>
      <c r="P26" s="14"/>
      <c r="Q26" s="15"/>
      <c r="R26" s="14"/>
      <c r="S26" s="18"/>
      <c r="T26" s="15"/>
      <c r="U26" s="14"/>
      <c r="V26" s="18"/>
      <c r="W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5"/>
      <c r="G27" s="14"/>
      <c r="H27" s="14"/>
      <c r="I27" s="14"/>
      <c r="J27" s="14"/>
      <c r="K27" s="14"/>
      <c r="L27" s="16"/>
      <c r="M27" s="16"/>
      <c r="N27" s="17"/>
      <c r="O27" s="16"/>
      <c r="P27" s="14"/>
      <c r="Q27" s="15"/>
      <c r="R27" s="14"/>
      <c r="S27" s="18"/>
      <c r="T27" s="15"/>
      <c r="U27" s="14"/>
      <c r="V27" s="18"/>
      <c r="W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5"/>
      <c r="G28" s="14"/>
      <c r="H28" s="14"/>
      <c r="I28" s="14"/>
      <c r="J28" s="14"/>
      <c r="K28" s="14"/>
      <c r="L28" s="16"/>
      <c r="M28" s="16"/>
      <c r="N28" s="17"/>
      <c r="O28" s="16"/>
      <c r="P28" s="14"/>
      <c r="Q28" s="15"/>
      <c r="R28" s="14"/>
      <c r="S28" s="18"/>
      <c r="T28" s="15"/>
      <c r="U28" s="14"/>
      <c r="V28" s="18"/>
      <c r="W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5"/>
      <c r="G29" s="14"/>
      <c r="H29" s="14"/>
      <c r="I29" s="14"/>
      <c r="J29" s="14"/>
      <c r="K29" s="14"/>
      <c r="L29" s="16"/>
      <c r="M29" s="16"/>
      <c r="N29" s="17"/>
      <c r="O29" s="16"/>
      <c r="P29" s="14"/>
      <c r="Q29" s="15"/>
      <c r="R29" s="14"/>
      <c r="S29" s="18"/>
      <c r="T29" s="15"/>
      <c r="U29" s="14"/>
      <c r="V29" s="18"/>
      <c r="W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5"/>
      <c r="G30" s="14"/>
      <c r="H30" s="14"/>
      <c r="I30" s="14"/>
      <c r="J30" s="14"/>
      <c r="K30" s="14"/>
      <c r="L30" s="16"/>
      <c r="M30" s="16"/>
      <c r="N30" s="17"/>
      <c r="O30" s="16"/>
      <c r="P30" s="14"/>
      <c r="Q30" s="15"/>
      <c r="R30" s="14"/>
      <c r="S30" s="18"/>
      <c r="T30" s="15"/>
      <c r="U30" s="14"/>
      <c r="V30" s="18"/>
      <c r="W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5"/>
      <c r="G31" s="14"/>
      <c r="H31" s="14"/>
      <c r="I31" s="14"/>
      <c r="J31" s="14"/>
      <c r="K31" s="14"/>
      <c r="L31" s="16"/>
      <c r="M31" s="16"/>
      <c r="N31" s="17"/>
      <c r="O31" s="16"/>
      <c r="P31" s="14"/>
      <c r="Q31" s="15"/>
      <c r="R31" s="14"/>
      <c r="S31" s="18"/>
      <c r="T31" s="15"/>
      <c r="U31" s="14"/>
      <c r="V31" s="18"/>
      <c r="W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5"/>
      <c r="G32" s="14"/>
      <c r="H32" s="14"/>
      <c r="I32" s="14"/>
      <c r="J32" s="14"/>
      <c r="K32" s="14"/>
      <c r="L32" s="16"/>
      <c r="M32" s="16"/>
      <c r="N32" s="17"/>
      <c r="O32" s="16"/>
      <c r="P32" s="14"/>
      <c r="Q32" s="15"/>
      <c r="R32" s="14"/>
      <c r="S32" s="18"/>
      <c r="T32" s="15"/>
      <c r="U32" s="14"/>
      <c r="V32" s="18"/>
      <c r="W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5"/>
      <c r="G33" s="14"/>
      <c r="H33" s="14"/>
      <c r="I33" s="14"/>
      <c r="J33" s="14"/>
      <c r="K33" s="14"/>
      <c r="L33" s="16"/>
      <c r="M33" s="16"/>
      <c r="N33" s="17"/>
      <c r="O33" s="16"/>
      <c r="P33" s="14"/>
      <c r="Q33" s="15"/>
      <c r="R33" s="14"/>
      <c r="S33" s="18"/>
      <c r="T33" s="15"/>
      <c r="U33" s="14"/>
      <c r="V33" s="18"/>
      <c r="W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5"/>
      <c r="G34" s="14"/>
      <c r="H34" s="14"/>
      <c r="I34" s="14"/>
      <c r="J34" s="14"/>
      <c r="K34" s="14"/>
      <c r="L34" s="16"/>
      <c r="M34" s="16"/>
      <c r="N34" s="17"/>
      <c r="O34" s="16"/>
      <c r="P34" s="14"/>
      <c r="Q34" s="15"/>
      <c r="R34" s="14"/>
      <c r="S34" s="18"/>
      <c r="T34" s="15"/>
      <c r="U34" s="14"/>
      <c r="V34" s="18"/>
      <c r="W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5"/>
      <c r="G35" s="14"/>
      <c r="H35" s="14"/>
      <c r="I35" s="14"/>
      <c r="J35" s="14"/>
      <c r="K35" s="14"/>
      <c r="L35" s="16"/>
      <c r="M35" s="16"/>
      <c r="N35" s="17"/>
      <c r="O35" s="16"/>
      <c r="P35" s="14"/>
      <c r="Q35" s="15"/>
      <c r="R35" s="14"/>
      <c r="S35" s="18"/>
      <c r="T35" s="15"/>
      <c r="U35" s="14"/>
      <c r="V35" s="18"/>
      <c r="W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5"/>
      <c r="G36" s="14"/>
      <c r="H36" s="14"/>
      <c r="I36" s="14"/>
      <c r="J36" s="14"/>
      <c r="K36" s="14"/>
      <c r="L36" s="16"/>
      <c r="M36" s="16"/>
      <c r="N36" s="17"/>
      <c r="O36" s="16"/>
      <c r="P36" s="14"/>
      <c r="Q36" s="15"/>
      <c r="R36" s="14"/>
      <c r="S36" s="18"/>
      <c r="T36" s="15"/>
      <c r="U36" s="14"/>
      <c r="V36" s="18"/>
      <c r="W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5"/>
      <c r="G37" s="14"/>
      <c r="H37" s="14"/>
      <c r="I37" s="14"/>
      <c r="J37" s="14"/>
      <c r="K37" s="14"/>
      <c r="L37" s="16"/>
      <c r="M37" s="16"/>
      <c r="N37" s="17"/>
      <c r="O37" s="16"/>
      <c r="P37" s="14"/>
      <c r="Q37" s="15"/>
      <c r="R37" s="14"/>
      <c r="S37" s="18"/>
      <c r="T37" s="15"/>
      <c r="U37" s="14"/>
      <c r="V37" s="18"/>
      <c r="W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5"/>
      <c r="G38" s="14"/>
      <c r="H38" s="14"/>
      <c r="I38" s="14"/>
      <c r="J38" s="14"/>
      <c r="K38" s="14"/>
      <c r="L38" s="16"/>
      <c r="M38" s="16"/>
      <c r="N38" s="17"/>
      <c r="O38" s="16"/>
      <c r="P38" s="14"/>
      <c r="Q38" s="15"/>
      <c r="R38" s="14"/>
      <c r="S38" s="18"/>
      <c r="T38" s="15"/>
      <c r="U38" s="14"/>
      <c r="V38" s="18"/>
      <c r="W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5"/>
      <c r="G39" s="14"/>
      <c r="H39" s="14"/>
      <c r="I39" s="14"/>
      <c r="J39" s="14"/>
      <c r="K39" s="14"/>
      <c r="L39" s="16"/>
      <c r="M39" s="16"/>
      <c r="N39" s="17"/>
      <c r="O39" s="16"/>
      <c r="P39" s="14"/>
      <c r="Q39" s="15"/>
      <c r="R39" s="14"/>
      <c r="S39" s="18"/>
      <c r="T39" s="15"/>
      <c r="U39" s="14"/>
      <c r="V39" s="18"/>
      <c r="W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5"/>
      <c r="G40" s="14"/>
      <c r="H40" s="14"/>
      <c r="I40" s="14"/>
      <c r="J40" s="14"/>
      <c r="K40" s="14"/>
      <c r="L40" s="16"/>
      <c r="M40" s="16"/>
      <c r="N40" s="17"/>
      <c r="O40" s="16"/>
      <c r="P40" s="14"/>
      <c r="Q40" s="15"/>
      <c r="R40" s="14"/>
      <c r="S40" s="18"/>
      <c r="T40" s="15"/>
      <c r="U40" s="14"/>
      <c r="V40" s="18"/>
      <c r="W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5"/>
      <c r="G41" s="14"/>
      <c r="H41" s="14"/>
      <c r="I41" s="14"/>
      <c r="J41" s="14"/>
      <c r="K41" s="14"/>
      <c r="L41" s="16"/>
      <c r="M41" s="16"/>
      <c r="N41" s="17"/>
      <c r="O41" s="16"/>
      <c r="P41" s="14"/>
      <c r="Q41" s="15"/>
      <c r="R41" s="14"/>
      <c r="S41" s="18"/>
      <c r="T41" s="15"/>
      <c r="U41" s="14"/>
      <c r="V41" s="18"/>
      <c r="W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5"/>
      <c r="G42" s="14"/>
      <c r="H42" s="14"/>
      <c r="I42" s="14"/>
      <c r="J42" s="14"/>
      <c r="K42" s="14"/>
      <c r="L42" s="16"/>
      <c r="M42" s="16"/>
      <c r="N42" s="17"/>
      <c r="O42" s="16"/>
      <c r="P42" s="14"/>
      <c r="Q42" s="15"/>
      <c r="R42" s="14"/>
      <c r="S42" s="18"/>
      <c r="T42" s="15"/>
      <c r="U42" s="14"/>
      <c r="V42" s="18"/>
      <c r="W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5"/>
      <c r="G43" s="14"/>
      <c r="H43" s="14"/>
      <c r="I43" s="14"/>
      <c r="J43" s="14"/>
      <c r="K43" s="14"/>
      <c r="L43" s="16"/>
      <c r="M43" s="16"/>
      <c r="N43" s="17"/>
      <c r="O43" s="16"/>
      <c r="P43" s="14"/>
      <c r="Q43" s="15"/>
      <c r="R43" s="14"/>
      <c r="S43" s="18"/>
      <c r="T43" s="15"/>
      <c r="U43" s="14"/>
      <c r="V43" s="18"/>
      <c r="W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5"/>
      <c r="G44" s="14"/>
      <c r="H44" s="14"/>
      <c r="I44" s="14"/>
      <c r="J44" s="14"/>
      <c r="K44" s="14"/>
      <c r="L44" s="16"/>
      <c r="M44" s="16"/>
      <c r="N44" s="17"/>
      <c r="O44" s="16"/>
      <c r="P44" s="14"/>
      <c r="Q44" s="15"/>
      <c r="R44" s="14"/>
      <c r="S44" s="18"/>
      <c r="T44" s="15"/>
      <c r="U44" s="14"/>
      <c r="V44" s="18"/>
      <c r="W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5"/>
      <c r="G45" s="14"/>
      <c r="H45" s="14"/>
      <c r="I45" s="14"/>
      <c r="J45" s="14"/>
      <c r="K45" s="14"/>
      <c r="L45" s="16"/>
      <c r="M45" s="16"/>
      <c r="N45" s="17"/>
      <c r="O45" s="16"/>
      <c r="P45" s="14"/>
      <c r="Q45" s="15"/>
      <c r="R45" s="14"/>
      <c r="S45" s="18"/>
      <c r="T45" s="15"/>
      <c r="U45" s="14"/>
      <c r="V45" s="18"/>
      <c r="W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5"/>
      <c r="G46" s="14"/>
      <c r="H46" s="14"/>
      <c r="I46" s="14"/>
      <c r="J46" s="14"/>
      <c r="K46" s="14"/>
      <c r="L46" s="16"/>
      <c r="M46" s="16"/>
      <c r="N46" s="17"/>
      <c r="O46" s="16"/>
      <c r="P46" s="14"/>
      <c r="Q46" s="15"/>
      <c r="R46" s="14"/>
      <c r="S46" s="18"/>
      <c r="T46" s="15"/>
      <c r="U46" s="14"/>
      <c r="V46" s="18"/>
      <c r="W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5"/>
      <c r="G47" s="14"/>
      <c r="H47" s="14"/>
      <c r="I47" s="14"/>
      <c r="J47" s="14"/>
      <c r="K47" s="14"/>
      <c r="L47" s="16"/>
      <c r="M47" s="16"/>
      <c r="N47" s="17"/>
      <c r="O47" s="16"/>
      <c r="P47" s="14"/>
      <c r="Q47" s="15"/>
      <c r="R47" s="14"/>
      <c r="S47" s="18"/>
      <c r="T47" s="15"/>
      <c r="U47" s="14"/>
      <c r="V47" s="18"/>
      <c r="W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5"/>
      <c r="G48" s="14"/>
      <c r="H48" s="14"/>
      <c r="I48" s="14"/>
      <c r="J48" s="14"/>
      <c r="K48" s="14"/>
      <c r="L48" s="16"/>
      <c r="M48" s="16"/>
      <c r="N48" s="17"/>
      <c r="O48" s="16"/>
      <c r="P48" s="14"/>
      <c r="Q48" s="15"/>
      <c r="R48" s="14"/>
      <c r="S48" s="18"/>
      <c r="T48" s="15"/>
      <c r="U48" s="14"/>
      <c r="V48" s="18"/>
      <c r="W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5"/>
      <c r="G49" s="14"/>
      <c r="H49" s="14"/>
      <c r="I49" s="14"/>
      <c r="J49" s="14"/>
      <c r="K49" s="14"/>
      <c r="L49" s="16"/>
      <c r="M49" s="16"/>
      <c r="N49" s="17"/>
      <c r="O49" s="16"/>
      <c r="P49" s="14"/>
      <c r="Q49" s="15"/>
      <c r="R49" s="14"/>
      <c r="S49" s="18"/>
      <c r="T49" s="15"/>
      <c r="U49" s="14"/>
      <c r="V49" s="18"/>
      <c r="W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5"/>
      <c r="G50" s="14"/>
      <c r="H50" s="14"/>
      <c r="I50" s="14"/>
      <c r="J50" s="14"/>
      <c r="K50" s="14"/>
      <c r="L50" s="16"/>
      <c r="M50" s="16"/>
      <c r="N50" s="17"/>
      <c r="O50" s="16"/>
      <c r="P50" s="14"/>
      <c r="Q50" s="15"/>
      <c r="R50" s="14"/>
      <c r="S50" s="18"/>
      <c r="T50" s="15"/>
      <c r="U50" s="14"/>
      <c r="V50" s="18"/>
      <c r="W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5"/>
      <c r="G51" s="14"/>
      <c r="H51" s="14"/>
      <c r="I51" s="14"/>
      <c r="J51" s="14"/>
      <c r="K51" s="14"/>
      <c r="L51" s="16"/>
      <c r="M51" s="16"/>
      <c r="N51" s="17"/>
      <c r="O51" s="16"/>
      <c r="P51" s="14"/>
      <c r="Q51" s="15"/>
      <c r="R51" s="14"/>
      <c r="S51" s="18"/>
      <c r="T51" s="15"/>
      <c r="U51" s="14"/>
      <c r="V51" s="18"/>
      <c r="W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5"/>
      <c r="G52" s="14"/>
      <c r="H52" s="14"/>
      <c r="I52" s="14"/>
      <c r="J52" s="14"/>
      <c r="K52" s="14"/>
      <c r="L52" s="16"/>
      <c r="M52" s="16"/>
      <c r="N52" s="17"/>
      <c r="O52" s="16"/>
      <c r="P52" s="14"/>
      <c r="Q52" s="15"/>
      <c r="R52" s="14"/>
      <c r="S52" s="18"/>
      <c r="T52" s="15"/>
      <c r="U52" s="14"/>
      <c r="V52" s="18"/>
      <c r="W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5"/>
      <c r="G53" s="14"/>
      <c r="H53" s="14"/>
      <c r="I53" s="14"/>
      <c r="J53" s="14"/>
      <c r="K53" s="14"/>
      <c r="L53" s="16"/>
      <c r="M53" s="16"/>
      <c r="N53" s="17"/>
      <c r="O53" s="16"/>
      <c r="P53" s="14"/>
      <c r="Q53" s="15"/>
      <c r="R53" s="14"/>
      <c r="S53" s="18"/>
      <c r="T53" s="15"/>
      <c r="U53" s="14"/>
      <c r="V53" s="18"/>
      <c r="W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5"/>
      <c r="G54" s="14"/>
      <c r="H54" s="14"/>
      <c r="I54" s="14"/>
      <c r="J54" s="14"/>
      <c r="K54" s="14"/>
      <c r="L54" s="16"/>
      <c r="M54" s="16"/>
      <c r="N54" s="17"/>
      <c r="O54" s="16"/>
      <c r="P54" s="14"/>
      <c r="Q54" s="15"/>
      <c r="R54" s="14"/>
      <c r="S54" s="18"/>
      <c r="T54" s="15"/>
      <c r="U54" s="14"/>
      <c r="V54" s="18"/>
      <c r="W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5"/>
      <c r="G55" s="14"/>
      <c r="H55" s="14"/>
      <c r="I55" s="14"/>
      <c r="J55" s="14"/>
      <c r="K55" s="14"/>
      <c r="L55" s="16"/>
      <c r="M55" s="16"/>
      <c r="N55" s="17"/>
      <c r="O55" s="16"/>
      <c r="P55" s="14"/>
      <c r="Q55" s="15"/>
      <c r="R55" s="14"/>
      <c r="S55" s="18"/>
      <c r="T55" s="15"/>
      <c r="U55" s="14"/>
      <c r="V55" s="18"/>
      <c r="W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5"/>
      <c r="G56" s="14"/>
      <c r="H56" s="14"/>
      <c r="I56" s="14"/>
      <c r="J56" s="14"/>
      <c r="K56" s="14"/>
      <c r="L56" s="16"/>
      <c r="M56" s="16"/>
      <c r="N56" s="17"/>
      <c r="O56" s="16"/>
      <c r="P56" s="14"/>
      <c r="Q56" s="15"/>
      <c r="R56" s="14"/>
      <c r="S56" s="18"/>
      <c r="T56" s="15"/>
      <c r="U56" s="14"/>
      <c r="V56" s="18"/>
      <c r="W56" s="14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5"/>
      <c r="G57" s="14"/>
      <c r="H57" s="14"/>
      <c r="I57" s="14"/>
      <c r="J57" s="14"/>
      <c r="K57" s="14"/>
      <c r="L57" s="16"/>
      <c r="M57" s="16"/>
      <c r="N57" s="17"/>
      <c r="O57" s="16"/>
      <c r="P57" s="14"/>
      <c r="Q57" s="15"/>
      <c r="R57" s="14"/>
      <c r="S57" s="18"/>
      <c r="T57" s="15"/>
      <c r="U57" s="14"/>
      <c r="V57" s="18"/>
      <c r="W57" s="14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5"/>
      <c r="G58" s="14"/>
      <c r="H58" s="14"/>
      <c r="I58" s="14"/>
      <c r="J58" s="14"/>
      <c r="K58" s="14"/>
      <c r="L58" s="16"/>
      <c r="M58" s="16"/>
      <c r="N58" s="17"/>
      <c r="O58" s="16"/>
      <c r="P58" s="14"/>
      <c r="Q58" s="15"/>
      <c r="R58" s="14"/>
      <c r="S58" s="18"/>
      <c r="T58" s="15"/>
      <c r="U58" s="14"/>
      <c r="V58" s="18"/>
      <c r="W58" s="14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5"/>
      <c r="G59" s="14"/>
      <c r="H59" s="14"/>
      <c r="I59" s="14"/>
      <c r="J59" s="14"/>
      <c r="K59" s="14"/>
      <c r="L59" s="16"/>
      <c r="M59" s="16"/>
      <c r="N59" s="17"/>
      <c r="O59" s="16"/>
      <c r="P59" s="14"/>
      <c r="Q59" s="15"/>
      <c r="R59" s="14"/>
      <c r="S59" s="18"/>
      <c r="T59" s="15"/>
      <c r="U59" s="14"/>
      <c r="V59" s="18"/>
      <c r="W59" s="14"/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5"/>
      <c r="G60" s="14"/>
      <c r="H60" s="14"/>
      <c r="I60" s="14"/>
      <c r="J60" s="14"/>
      <c r="K60" s="14"/>
      <c r="L60" s="16"/>
      <c r="M60" s="16"/>
      <c r="N60" s="17"/>
      <c r="O60" s="16"/>
      <c r="P60" s="14"/>
      <c r="Q60" s="15"/>
      <c r="R60" s="14"/>
      <c r="S60" s="18"/>
      <c r="T60" s="15"/>
      <c r="U60" s="14"/>
      <c r="V60" s="18"/>
      <c r="W60" s="14"/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5"/>
      <c r="G61" s="14"/>
      <c r="H61" s="14"/>
      <c r="I61" s="14"/>
      <c r="J61" s="14"/>
      <c r="K61" s="14"/>
      <c r="L61" s="16"/>
      <c r="M61" s="16"/>
      <c r="N61" s="17"/>
      <c r="O61" s="16"/>
      <c r="P61" s="14"/>
      <c r="Q61" s="15"/>
      <c r="R61" s="14"/>
      <c r="S61" s="18"/>
      <c r="T61" s="15"/>
      <c r="U61" s="14"/>
      <c r="V61" s="18"/>
      <c r="W61" s="14"/>
    </row>
    <row r="62" customFormat="false" ht="15" hidden="false" customHeight="false" outlineLevel="0" collapsed="false">
      <c r="A62" s="14"/>
      <c r="B62" s="14"/>
      <c r="C62" s="14"/>
      <c r="D62" s="14"/>
      <c r="E62" s="14"/>
      <c r="F62" s="15"/>
      <c r="G62" s="14"/>
      <c r="H62" s="14"/>
      <c r="I62" s="14"/>
      <c r="J62" s="14"/>
      <c r="K62" s="14"/>
      <c r="L62" s="16"/>
      <c r="M62" s="16"/>
      <c r="N62" s="17"/>
      <c r="O62" s="16"/>
      <c r="P62" s="14"/>
      <c r="Q62" s="15"/>
      <c r="R62" s="14"/>
      <c r="S62" s="18"/>
      <c r="T62" s="15"/>
      <c r="U62" s="14"/>
      <c r="V62" s="18"/>
      <c r="W62" s="14"/>
    </row>
    <row r="63" customFormat="false" ht="15" hidden="false" customHeight="false" outlineLevel="0" collapsed="false">
      <c r="A63" s="14"/>
      <c r="B63" s="14"/>
      <c r="C63" s="14"/>
      <c r="D63" s="14"/>
      <c r="E63" s="14"/>
      <c r="F63" s="15"/>
      <c r="G63" s="14"/>
      <c r="H63" s="14"/>
      <c r="I63" s="14"/>
      <c r="J63" s="14"/>
      <c r="K63" s="14"/>
      <c r="L63" s="16"/>
      <c r="M63" s="16"/>
      <c r="N63" s="17"/>
      <c r="O63" s="16"/>
      <c r="P63" s="14"/>
      <c r="Q63" s="15"/>
      <c r="R63" s="14"/>
      <c r="S63" s="18"/>
      <c r="T63" s="15"/>
      <c r="U63" s="14"/>
      <c r="V63" s="18"/>
      <c r="W63" s="14"/>
    </row>
    <row r="64" customFormat="false" ht="15" hidden="false" customHeight="false" outlineLevel="0" collapsed="false">
      <c r="A64" s="14"/>
      <c r="B64" s="14"/>
      <c r="C64" s="14"/>
      <c r="D64" s="14"/>
      <c r="E64" s="14"/>
      <c r="F64" s="15"/>
      <c r="G64" s="14"/>
      <c r="H64" s="14"/>
      <c r="I64" s="14"/>
      <c r="J64" s="14"/>
      <c r="K64" s="14"/>
      <c r="L64" s="16"/>
      <c r="M64" s="16"/>
      <c r="N64" s="17"/>
      <c r="O64" s="16"/>
      <c r="P64" s="14"/>
      <c r="Q64" s="15"/>
      <c r="R64" s="14"/>
      <c r="S64" s="18"/>
      <c r="T64" s="15"/>
      <c r="U64" s="14"/>
      <c r="V64" s="18"/>
      <c r="W64" s="14"/>
    </row>
    <row r="65" customFormat="false" ht="15" hidden="false" customHeight="false" outlineLevel="0" collapsed="false">
      <c r="A65" s="14"/>
      <c r="B65" s="14"/>
      <c r="C65" s="14"/>
      <c r="D65" s="14"/>
      <c r="E65" s="14"/>
      <c r="F65" s="15"/>
      <c r="G65" s="14"/>
      <c r="H65" s="14"/>
      <c r="I65" s="14"/>
      <c r="J65" s="14"/>
      <c r="K65" s="14"/>
      <c r="L65" s="16"/>
      <c r="M65" s="16"/>
      <c r="N65" s="17"/>
      <c r="O65" s="16"/>
      <c r="P65" s="14"/>
      <c r="Q65" s="15"/>
      <c r="R65" s="14"/>
      <c r="S65" s="18"/>
      <c r="T65" s="15"/>
      <c r="U65" s="14"/>
      <c r="V65" s="18"/>
      <c r="W65" s="14"/>
    </row>
    <row r="66" customFormat="false" ht="15" hidden="false" customHeight="false" outlineLevel="0" collapsed="false">
      <c r="A66" s="14"/>
      <c r="B66" s="14"/>
      <c r="C66" s="14"/>
      <c r="D66" s="14"/>
      <c r="E66" s="14"/>
      <c r="F66" s="15"/>
      <c r="G66" s="14"/>
      <c r="H66" s="14"/>
      <c r="I66" s="14"/>
      <c r="J66" s="14"/>
      <c r="K66" s="14"/>
      <c r="L66" s="16"/>
      <c r="M66" s="16"/>
      <c r="N66" s="17"/>
      <c r="O66" s="16"/>
      <c r="P66" s="14"/>
      <c r="Q66" s="15"/>
      <c r="R66" s="14"/>
      <c r="S66" s="18"/>
      <c r="T66" s="15"/>
      <c r="U66" s="14"/>
      <c r="V66" s="18"/>
      <c r="W66" s="14"/>
    </row>
    <row r="67" customFormat="false" ht="15" hidden="false" customHeight="false" outlineLevel="0" collapsed="false">
      <c r="A67" s="14"/>
      <c r="B67" s="14"/>
      <c r="C67" s="14"/>
      <c r="D67" s="14"/>
      <c r="E67" s="14"/>
      <c r="F67" s="15"/>
      <c r="G67" s="14"/>
      <c r="H67" s="14"/>
      <c r="I67" s="14"/>
      <c r="J67" s="14"/>
      <c r="K67" s="14"/>
      <c r="L67" s="16"/>
      <c r="M67" s="16"/>
      <c r="N67" s="17"/>
      <c r="O67" s="16"/>
      <c r="P67" s="14"/>
      <c r="Q67" s="15"/>
      <c r="R67" s="14"/>
      <c r="S67" s="18"/>
      <c r="T67" s="15"/>
      <c r="U67" s="14"/>
      <c r="V67" s="18"/>
      <c r="W67" s="14"/>
    </row>
    <row r="68" customFormat="false" ht="15" hidden="false" customHeight="false" outlineLevel="0" collapsed="false">
      <c r="A68" s="14"/>
      <c r="B68" s="14"/>
      <c r="C68" s="14"/>
      <c r="D68" s="14"/>
      <c r="E68" s="14"/>
      <c r="F68" s="15"/>
      <c r="G68" s="14"/>
      <c r="H68" s="14"/>
      <c r="I68" s="14"/>
      <c r="J68" s="14"/>
      <c r="K68" s="14"/>
      <c r="L68" s="16"/>
      <c r="M68" s="16"/>
      <c r="N68" s="17"/>
      <c r="O68" s="16"/>
      <c r="P68" s="14"/>
      <c r="Q68" s="15"/>
      <c r="R68" s="14"/>
      <c r="S68" s="18"/>
      <c r="T68" s="15"/>
      <c r="U68" s="14"/>
      <c r="V68" s="18"/>
      <c r="W68" s="14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5"/>
      <c r="G69" s="14"/>
      <c r="H69" s="14"/>
      <c r="I69" s="14"/>
      <c r="J69" s="14"/>
      <c r="K69" s="14"/>
      <c r="L69" s="16"/>
      <c r="M69" s="16"/>
      <c r="N69" s="17"/>
      <c r="O69" s="16"/>
      <c r="P69" s="14"/>
      <c r="Q69" s="15"/>
      <c r="R69" s="14"/>
      <c r="S69" s="18"/>
      <c r="T69" s="15"/>
      <c r="U69" s="14"/>
      <c r="V69" s="18"/>
      <c r="W69" s="14"/>
    </row>
    <row r="70" customFormat="false" ht="15" hidden="false" customHeight="false" outlineLevel="0" collapsed="false">
      <c r="A70" s="14"/>
      <c r="B70" s="14"/>
      <c r="C70" s="14"/>
      <c r="D70" s="14"/>
      <c r="E70" s="14"/>
      <c r="F70" s="15"/>
      <c r="G70" s="14"/>
      <c r="H70" s="14"/>
      <c r="I70" s="14"/>
      <c r="J70" s="14"/>
      <c r="K70" s="14"/>
      <c r="L70" s="16"/>
      <c r="M70" s="16"/>
      <c r="N70" s="17"/>
      <c r="O70" s="16"/>
      <c r="P70" s="14"/>
      <c r="Q70" s="15"/>
      <c r="R70" s="14"/>
      <c r="S70" s="18"/>
      <c r="T70" s="15"/>
      <c r="U70" s="14"/>
      <c r="V70" s="18"/>
      <c r="W70" s="14"/>
    </row>
    <row r="71" customFormat="false" ht="15" hidden="false" customHeight="false" outlineLevel="0" collapsed="false">
      <c r="A71" s="14"/>
      <c r="B71" s="14"/>
      <c r="C71" s="14"/>
      <c r="D71" s="14"/>
      <c r="E71" s="14"/>
      <c r="F71" s="15"/>
      <c r="G71" s="14"/>
      <c r="H71" s="14"/>
      <c r="I71" s="14"/>
      <c r="J71" s="14"/>
      <c r="K71" s="14"/>
      <c r="L71" s="16"/>
      <c r="M71" s="16"/>
      <c r="N71" s="17"/>
      <c r="O71" s="16"/>
      <c r="P71" s="14"/>
      <c r="Q71" s="15"/>
      <c r="R71" s="14"/>
      <c r="S71" s="18"/>
      <c r="T71" s="15"/>
      <c r="U71" s="14"/>
      <c r="V71" s="18"/>
      <c r="W71" s="14"/>
    </row>
    <row r="72" customFormat="false" ht="15" hidden="false" customHeight="false" outlineLevel="0" collapsed="false">
      <c r="A72" s="14"/>
      <c r="B72" s="14"/>
      <c r="C72" s="14"/>
      <c r="D72" s="14"/>
      <c r="E72" s="14"/>
      <c r="F72" s="15"/>
      <c r="G72" s="14"/>
      <c r="H72" s="14"/>
      <c r="I72" s="14"/>
      <c r="J72" s="14"/>
      <c r="K72" s="14"/>
      <c r="L72" s="16"/>
      <c r="M72" s="16"/>
      <c r="N72" s="17"/>
      <c r="O72" s="16"/>
      <c r="P72" s="14"/>
      <c r="Q72" s="15"/>
      <c r="R72" s="14"/>
      <c r="S72" s="18"/>
      <c r="T72" s="15"/>
      <c r="U72" s="14"/>
      <c r="V72" s="18"/>
      <c r="W72" s="14"/>
    </row>
    <row r="73" customFormat="false" ht="15" hidden="false" customHeight="false" outlineLevel="0" collapsed="false">
      <c r="A73" s="14"/>
      <c r="B73" s="14"/>
      <c r="C73" s="14"/>
      <c r="D73" s="14"/>
      <c r="E73" s="14"/>
      <c r="F73" s="15"/>
      <c r="G73" s="14"/>
      <c r="H73" s="14"/>
      <c r="I73" s="14"/>
      <c r="J73" s="14"/>
      <c r="K73" s="14"/>
      <c r="L73" s="16"/>
      <c r="M73" s="16"/>
      <c r="N73" s="17"/>
      <c r="O73" s="16"/>
      <c r="P73" s="14"/>
      <c r="Q73" s="15"/>
      <c r="R73" s="14"/>
      <c r="S73" s="18"/>
      <c r="T73" s="15"/>
      <c r="U73" s="14"/>
      <c r="V73" s="18"/>
      <c r="W73" s="14"/>
    </row>
    <row r="74" customFormat="false" ht="15" hidden="false" customHeight="false" outlineLevel="0" collapsed="false">
      <c r="A74" s="14"/>
      <c r="B74" s="14"/>
      <c r="C74" s="14"/>
      <c r="D74" s="14"/>
      <c r="E74" s="14"/>
      <c r="F74" s="15"/>
      <c r="G74" s="14"/>
      <c r="H74" s="14"/>
      <c r="I74" s="14"/>
      <c r="J74" s="14"/>
      <c r="K74" s="14"/>
      <c r="L74" s="16"/>
      <c r="M74" s="16"/>
      <c r="N74" s="17"/>
      <c r="O74" s="16"/>
      <c r="P74" s="14"/>
      <c r="Q74" s="15"/>
      <c r="R74" s="14"/>
      <c r="S74" s="18"/>
      <c r="T74" s="15"/>
      <c r="U74" s="14"/>
      <c r="V74" s="18"/>
      <c r="W74" s="14"/>
    </row>
    <row r="75" customFormat="false" ht="15" hidden="false" customHeight="false" outlineLevel="0" collapsed="false">
      <c r="A75" s="14"/>
      <c r="B75" s="14"/>
      <c r="C75" s="14"/>
      <c r="D75" s="14"/>
      <c r="E75" s="14"/>
      <c r="F75" s="15"/>
      <c r="G75" s="14"/>
      <c r="H75" s="14"/>
      <c r="I75" s="14"/>
      <c r="J75" s="14"/>
      <c r="K75" s="14"/>
      <c r="L75" s="16"/>
      <c r="M75" s="16"/>
      <c r="N75" s="17"/>
      <c r="O75" s="16"/>
      <c r="P75" s="14"/>
      <c r="Q75" s="15"/>
      <c r="R75" s="14"/>
      <c r="S75" s="18"/>
      <c r="T75" s="15"/>
      <c r="U75" s="14"/>
      <c r="V75" s="18"/>
      <c r="W75" s="14"/>
    </row>
    <row r="76" customFormat="false" ht="15" hidden="false" customHeight="false" outlineLevel="0" collapsed="false">
      <c r="A76" s="14"/>
      <c r="B76" s="14"/>
      <c r="C76" s="14"/>
      <c r="D76" s="14"/>
      <c r="E76" s="14"/>
      <c r="F76" s="15"/>
      <c r="G76" s="14"/>
      <c r="H76" s="14"/>
      <c r="I76" s="14"/>
      <c r="J76" s="14"/>
      <c r="K76" s="14"/>
      <c r="L76" s="16"/>
      <c r="M76" s="16"/>
      <c r="N76" s="17"/>
      <c r="O76" s="16"/>
      <c r="P76" s="14"/>
      <c r="Q76" s="15"/>
      <c r="R76" s="14"/>
      <c r="S76" s="18"/>
      <c r="T76" s="15"/>
      <c r="U76" s="14"/>
      <c r="V76" s="18"/>
      <c r="W76" s="14"/>
    </row>
    <row r="77" customFormat="false" ht="15" hidden="false" customHeight="false" outlineLevel="0" collapsed="false">
      <c r="A77" s="14"/>
      <c r="B77" s="14"/>
      <c r="C77" s="14"/>
      <c r="D77" s="14"/>
      <c r="E77" s="14"/>
      <c r="F77" s="15"/>
      <c r="G77" s="14"/>
      <c r="H77" s="14"/>
      <c r="I77" s="14"/>
      <c r="J77" s="14"/>
      <c r="K77" s="14"/>
      <c r="L77" s="16"/>
      <c r="M77" s="16"/>
      <c r="N77" s="17"/>
      <c r="O77" s="16"/>
      <c r="P77" s="14"/>
      <c r="Q77" s="15"/>
      <c r="R77" s="14"/>
      <c r="S77" s="18"/>
      <c r="T77" s="15"/>
      <c r="U77" s="14"/>
      <c r="V77" s="18"/>
      <c r="W77" s="14"/>
    </row>
    <row r="78" customFormat="false" ht="15" hidden="false" customHeight="false" outlineLevel="0" collapsed="false">
      <c r="A78" s="14"/>
      <c r="B78" s="14"/>
      <c r="C78" s="14"/>
      <c r="D78" s="14"/>
      <c r="E78" s="14"/>
      <c r="F78" s="15"/>
      <c r="G78" s="14"/>
      <c r="H78" s="14"/>
      <c r="I78" s="14"/>
      <c r="J78" s="14"/>
      <c r="K78" s="14"/>
      <c r="L78" s="16"/>
      <c r="M78" s="16"/>
      <c r="N78" s="17"/>
      <c r="O78" s="16"/>
      <c r="P78" s="14"/>
      <c r="Q78" s="15"/>
      <c r="R78" s="14"/>
      <c r="S78" s="18"/>
      <c r="T78" s="15"/>
      <c r="U78" s="14"/>
      <c r="V78" s="18"/>
      <c r="W78" s="14"/>
    </row>
    <row r="79" customFormat="false" ht="15" hidden="false" customHeight="false" outlineLevel="0" collapsed="false">
      <c r="A79" s="14"/>
      <c r="B79" s="14"/>
      <c r="C79" s="14"/>
      <c r="D79" s="14"/>
      <c r="E79" s="14"/>
      <c r="F79" s="15"/>
      <c r="G79" s="14"/>
      <c r="H79" s="14"/>
      <c r="I79" s="14"/>
      <c r="J79" s="14"/>
      <c r="K79" s="14"/>
      <c r="L79" s="16"/>
      <c r="M79" s="16"/>
      <c r="N79" s="17"/>
      <c r="O79" s="16"/>
      <c r="P79" s="14"/>
      <c r="Q79" s="15"/>
      <c r="R79" s="14"/>
      <c r="S79" s="18"/>
      <c r="T79" s="15"/>
      <c r="U79" s="14"/>
      <c r="V79" s="18"/>
      <c r="W79" s="14"/>
    </row>
    <row r="80" customFormat="false" ht="15" hidden="false" customHeight="false" outlineLevel="0" collapsed="false">
      <c r="A80" s="14"/>
      <c r="B80" s="14"/>
      <c r="C80" s="14"/>
      <c r="D80" s="14"/>
      <c r="E80" s="14"/>
      <c r="F80" s="15"/>
      <c r="G80" s="14"/>
      <c r="H80" s="14"/>
      <c r="I80" s="14"/>
      <c r="J80" s="14"/>
      <c r="K80" s="14"/>
      <c r="L80" s="16"/>
      <c r="M80" s="16"/>
      <c r="N80" s="17"/>
      <c r="O80" s="16"/>
      <c r="P80" s="14"/>
      <c r="Q80" s="15"/>
      <c r="R80" s="14"/>
      <c r="S80" s="18"/>
      <c r="T80" s="15"/>
      <c r="U80" s="14"/>
      <c r="V80" s="18"/>
      <c r="W80" s="14"/>
    </row>
    <row r="81" customFormat="false" ht="15" hidden="false" customHeight="false" outlineLevel="0" collapsed="false">
      <c r="A81" s="14"/>
      <c r="B81" s="14"/>
      <c r="C81" s="14"/>
      <c r="D81" s="14"/>
      <c r="E81" s="14"/>
      <c r="F81" s="15"/>
      <c r="G81" s="14"/>
      <c r="H81" s="14"/>
      <c r="I81" s="14"/>
      <c r="J81" s="14"/>
      <c r="K81" s="14"/>
      <c r="L81" s="16"/>
      <c r="M81" s="16"/>
      <c r="N81" s="17"/>
      <c r="O81" s="16"/>
      <c r="P81" s="14"/>
      <c r="Q81" s="15"/>
      <c r="R81" s="14"/>
      <c r="S81" s="18"/>
      <c r="T81" s="15"/>
      <c r="U81" s="14"/>
      <c r="V81" s="18"/>
      <c r="W81" s="14"/>
    </row>
    <row r="82" customFormat="false" ht="15" hidden="false" customHeight="false" outlineLevel="0" collapsed="false">
      <c r="A82" s="14"/>
      <c r="B82" s="14"/>
      <c r="C82" s="14"/>
      <c r="D82" s="14"/>
      <c r="E82" s="14"/>
      <c r="F82" s="15"/>
      <c r="G82" s="14"/>
      <c r="H82" s="14"/>
      <c r="I82" s="14"/>
      <c r="J82" s="14"/>
      <c r="K82" s="14"/>
      <c r="L82" s="16"/>
      <c r="M82" s="16"/>
      <c r="N82" s="17"/>
      <c r="O82" s="16"/>
      <c r="P82" s="14"/>
      <c r="Q82" s="15"/>
      <c r="R82" s="14"/>
      <c r="S82" s="18"/>
      <c r="T82" s="15"/>
      <c r="U82" s="14"/>
      <c r="V82" s="18"/>
      <c r="W82" s="14"/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5"/>
      <c r="G83" s="14"/>
      <c r="H83" s="14"/>
      <c r="I83" s="14"/>
      <c r="J83" s="14"/>
      <c r="K83" s="14"/>
      <c r="L83" s="16"/>
      <c r="M83" s="16"/>
      <c r="N83" s="17"/>
      <c r="O83" s="16"/>
      <c r="P83" s="14"/>
      <c r="Q83" s="15"/>
      <c r="R83" s="14"/>
      <c r="S83" s="18"/>
      <c r="T83" s="15"/>
      <c r="U83" s="14"/>
      <c r="V83" s="18"/>
      <c r="W83" s="14"/>
    </row>
    <row r="84" customFormat="false" ht="15" hidden="false" customHeight="false" outlineLevel="0" collapsed="false">
      <c r="A84" s="14"/>
      <c r="B84" s="14"/>
      <c r="C84" s="14"/>
      <c r="D84" s="14"/>
      <c r="E84" s="14"/>
      <c r="F84" s="15"/>
      <c r="G84" s="14"/>
      <c r="H84" s="14"/>
      <c r="I84" s="14"/>
      <c r="J84" s="14"/>
      <c r="K84" s="14"/>
      <c r="L84" s="16"/>
      <c r="M84" s="16"/>
      <c r="N84" s="17"/>
      <c r="O84" s="16"/>
      <c r="P84" s="14"/>
      <c r="Q84" s="15"/>
      <c r="R84" s="14"/>
      <c r="S84" s="18"/>
      <c r="T84" s="15"/>
      <c r="U84" s="14"/>
      <c r="V84" s="18"/>
      <c r="W84" s="14"/>
    </row>
    <row r="85" customFormat="false" ht="15" hidden="false" customHeight="false" outlineLevel="0" collapsed="false">
      <c r="A85" s="14"/>
      <c r="B85" s="14"/>
      <c r="C85" s="14"/>
      <c r="D85" s="14"/>
      <c r="E85" s="14"/>
      <c r="F85" s="15"/>
      <c r="G85" s="14"/>
      <c r="H85" s="14"/>
      <c r="I85" s="14"/>
      <c r="J85" s="14"/>
      <c r="K85" s="14"/>
      <c r="L85" s="16"/>
      <c r="M85" s="16"/>
      <c r="N85" s="17"/>
      <c r="O85" s="16"/>
      <c r="P85" s="14"/>
      <c r="Q85" s="15"/>
      <c r="R85" s="14"/>
      <c r="S85" s="18"/>
      <c r="T85" s="15"/>
      <c r="U85" s="14"/>
      <c r="V85" s="18"/>
      <c r="W85" s="14"/>
    </row>
    <row r="86" customFormat="false" ht="15" hidden="false" customHeight="false" outlineLevel="0" collapsed="false">
      <c r="A86" s="14"/>
      <c r="B86" s="14"/>
      <c r="C86" s="14"/>
      <c r="D86" s="14"/>
      <c r="E86" s="14"/>
      <c r="F86" s="15"/>
      <c r="G86" s="14"/>
      <c r="H86" s="14"/>
      <c r="I86" s="14"/>
      <c r="J86" s="14"/>
      <c r="K86" s="14"/>
      <c r="L86" s="16"/>
      <c r="M86" s="16"/>
      <c r="N86" s="17"/>
      <c r="O86" s="16"/>
      <c r="P86" s="14"/>
      <c r="Q86" s="15"/>
      <c r="R86" s="14"/>
      <c r="S86" s="18"/>
      <c r="T86" s="15"/>
      <c r="U86" s="14"/>
      <c r="V86" s="18"/>
      <c r="W86" s="14"/>
    </row>
    <row r="87" customFormat="false" ht="15" hidden="false" customHeight="false" outlineLevel="0" collapsed="false">
      <c r="A87" s="14"/>
      <c r="B87" s="14"/>
      <c r="C87" s="14"/>
      <c r="D87" s="14"/>
      <c r="E87" s="14"/>
      <c r="F87" s="15"/>
      <c r="G87" s="14"/>
      <c r="H87" s="14"/>
      <c r="I87" s="14"/>
      <c r="J87" s="14"/>
      <c r="K87" s="14"/>
      <c r="L87" s="16"/>
      <c r="M87" s="16"/>
      <c r="N87" s="17"/>
      <c r="O87" s="16"/>
      <c r="P87" s="14"/>
      <c r="Q87" s="15"/>
      <c r="R87" s="14"/>
      <c r="S87" s="18"/>
      <c r="T87" s="15"/>
      <c r="U87" s="14"/>
      <c r="V87" s="18"/>
      <c r="W87" s="14"/>
    </row>
    <row r="88" customFormat="false" ht="15" hidden="false" customHeight="false" outlineLevel="0" collapsed="false">
      <c r="A88" s="14"/>
      <c r="B88" s="14"/>
      <c r="C88" s="14"/>
      <c r="D88" s="14"/>
      <c r="E88" s="14"/>
      <c r="F88" s="15"/>
      <c r="G88" s="14"/>
      <c r="H88" s="14"/>
      <c r="I88" s="14"/>
      <c r="J88" s="14"/>
      <c r="K88" s="14"/>
      <c r="L88" s="16"/>
      <c r="M88" s="16"/>
      <c r="N88" s="17"/>
      <c r="O88" s="16"/>
      <c r="P88" s="14"/>
      <c r="Q88" s="15"/>
      <c r="R88" s="14"/>
      <c r="S88" s="18"/>
      <c r="T88" s="15"/>
      <c r="U88" s="14"/>
      <c r="V88" s="18"/>
      <c r="W88" s="14"/>
    </row>
    <row r="89" customFormat="false" ht="15" hidden="false" customHeight="false" outlineLevel="0" collapsed="false">
      <c r="A89" s="14"/>
      <c r="B89" s="14"/>
      <c r="C89" s="14"/>
      <c r="D89" s="14"/>
      <c r="E89" s="14"/>
      <c r="F89" s="15"/>
      <c r="G89" s="14"/>
      <c r="H89" s="14"/>
      <c r="I89" s="14"/>
      <c r="J89" s="14"/>
      <c r="K89" s="14"/>
      <c r="L89" s="16"/>
      <c r="M89" s="16"/>
      <c r="N89" s="17"/>
      <c r="O89" s="16"/>
      <c r="P89" s="14"/>
      <c r="Q89" s="15"/>
      <c r="R89" s="14"/>
      <c r="S89" s="18"/>
      <c r="T89" s="15"/>
      <c r="U89" s="14"/>
      <c r="V89" s="18"/>
      <c r="W89" s="14"/>
    </row>
    <row r="90" customFormat="false" ht="15" hidden="false" customHeight="false" outlineLevel="0" collapsed="false">
      <c r="A90" s="14"/>
      <c r="B90" s="14"/>
      <c r="C90" s="14"/>
      <c r="D90" s="14"/>
      <c r="E90" s="14"/>
      <c r="F90" s="15"/>
      <c r="G90" s="14"/>
      <c r="H90" s="14"/>
      <c r="I90" s="14"/>
      <c r="J90" s="14"/>
      <c r="K90" s="14"/>
      <c r="L90" s="16"/>
      <c r="M90" s="16"/>
      <c r="N90" s="17"/>
      <c r="O90" s="16"/>
      <c r="P90" s="14"/>
      <c r="Q90" s="15"/>
      <c r="R90" s="14"/>
      <c r="S90" s="18"/>
      <c r="T90" s="15"/>
      <c r="U90" s="14"/>
      <c r="V90" s="18"/>
      <c r="W90" s="14"/>
    </row>
    <row r="91" customFormat="false" ht="15" hidden="false" customHeight="false" outlineLevel="0" collapsed="false">
      <c r="A91" s="14"/>
      <c r="B91" s="14"/>
      <c r="C91" s="14"/>
      <c r="D91" s="14"/>
      <c r="E91" s="14"/>
      <c r="F91" s="15"/>
      <c r="G91" s="14"/>
      <c r="H91" s="14"/>
      <c r="I91" s="14"/>
      <c r="J91" s="14"/>
      <c r="K91" s="14"/>
      <c r="L91" s="16"/>
      <c r="M91" s="16"/>
      <c r="N91" s="17"/>
      <c r="O91" s="16"/>
      <c r="P91" s="14"/>
      <c r="Q91" s="15"/>
      <c r="R91" s="14"/>
      <c r="S91" s="18"/>
      <c r="T91" s="15"/>
      <c r="U91" s="14"/>
      <c r="V91" s="18"/>
      <c r="W91" s="14"/>
    </row>
    <row r="92" customFormat="false" ht="15" hidden="false" customHeight="false" outlineLevel="0" collapsed="false">
      <c r="A92" s="14"/>
      <c r="B92" s="14"/>
      <c r="C92" s="14"/>
      <c r="D92" s="14"/>
      <c r="E92" s="14"/>
      <c r="F92" s="15"/>
      <c r="G92" s="14"/>
      <c r="H92" s="14"/>
      <c r="I92" s="14"/>
      <c r="J92" s="14"/>
      <c r="K92" s="14"/>
      <c r="L92" s="16"/>
      <c r="M92" s="16"/>
      <c r="N92" s="17"/>
      <c r="O92" s="16"/>
      <c r="P92" s="14"/>
      <c r="Q92" s="15"/>
      <c r="R92" s="14"/>
      <c r="S92" s="18"/>
      <c r="T92" s="15"/>
      <c r="U92" s="14"/>
      <c r="V92" s="18"/>
      <c r="W92" s="14"/>
    </row>
    <row r="93" customFormat="false" ht="15" hidden="false" customHeight="false" outlineLevel="0" collapsed="false">
      <c r="A93" s="14"/>
      <c r="B93" s="14"/>
      <c r="C93" s="14"/>
      <c r="D93" s="14"/>
      <c r="E93" s="14"/>
      <c r="F93" s="15"/>
      <c r="G93" s="14"/>
      <c r="H93" s="14"/>
      <c r="I93" s="14"/>
      <c r="J93" s="14"/>
      <c r="K93" s="14"/>
      <c r="L93" s="16"/>
      <c r="M93" s="16"/>
      <c r="N93" s="17"/>
      <c r="O93" s="16"/>
      <c r="P93" s="14"/>
      <c r="Q93" s="15"/>
      <c r="R93" s="14"/>
      <c r="S93" s="18"/>
      <c r="T93" s="15"/>
      <c r="U93" s="14"/>
      <c r="V93" s="18"/>
      <c r="W93" s="14"/>
    </row>
    <row r="94" customFormat="false" ht="15" hidden="false" customHeight="false" outlineLevel="0" collapsed="false">
      <c r="A94" s="14"/>
      <c r="B94" s="14"/>
      <c r="C94" s="14"/>
      <c r="D94" s="14"/>
      <c r="E94" s="14"/>
      <c r="F94" s="15"/>
      <c r="G94" s="14"/>
      <c r="H94" s="14"/>
      <c r="I94" s="14"/>
      <c r="J94" s="14"/>
      <c r="K94" s="14"/>
      <c r="L94" s="16"/>
      <c r="M94" s="16"/>
      <c r="N94" s="17"/>
      <c r="O94" s="16"/>
      <c r="P94" s="14"/>
      <c r="Q94" s="15"/>
      <c r="R94" s="14"/>
      <c r="S94" s="18"/>
      <c r="T94" s="15"/>
      <c r="U94" s="14"/>
      <c r="V94" s="18"/>
      <c r="W94" s="14"/>
    </row>
    <row r="95" customFormat="false" ht="15" hidden="false" customHeight="false" outlineLevel="0" collapsed="false">
      <c r="A95" s="14"/>
      <c r="B95" s="14"/>
      <c r="C95" s="14"/>
      <c r="D95" s="14"/>
      <c r="E95" s="14"/>
      <c r="F95" s="15"/>
      <c r="G95" s="14"/>
      <c r="H95" s="14"/>
      <c r="I95" s="14"/>
      <c r="J95" s="14"/>
      <c r="K95" s="14"/>
      <c r="L95" s="16"/>
      <c r="M95" s="16"/>
      <c r="N95" s="17"/>
      <c r="O95" s="16"/>
      <c r="P95" s="14"/>
      <c r="Q95" s="15"/>
      <c r="R95" s="14"/>
      <c r="S95" s="18"/>
      <c r="T95" s="15"/>
      <c r="U95" s="14"/>
      <c r="V95" s="18"/>
      <c r="W95" s="14"/>
    </row>
    <row r="96" customFormat="false" ht="15" hidden="false" customHeight="false" outlineLevel="0" collapsed="false">
      <c r="A96" s="14"/>
      <c r="B96" s="14"/>
      <c r="C96" s="14"/>
      <c r="D96" s="14"/>
      <c r="E96" s="14"/>
      <c r="F96" s="15"/>
      <c r="G96" s="14"/>
      <c r="H96" s="14"/>
      <c r="I96" s="14"/>
      <c r="J96" s="14"/>
      <c r="K96" s="14"/>
      <c r="L96" s="16"/>
      <c r="M96" s="16"/>
      <c r="N96" s="17"/>
      <c r="O96" s="16"/>
      <c r="P96" s="14"/>
      <c r="Q96" s="15"/>
      <c r="R96" s="14"/>
      <c r="S96" s="18"/>
      <c r="T96" s="15"/>
      <c r="U96" s="14"/>
      <c r="V96" s="18"/>
      <c r="W96" s="14"/>
    </row>
    <row r="97" customFormat="false" ht="15" hidden="false" customHeight="false" outlineLevel="0" collapsed="false">
      <c r="A97" s="14"/>
      <c r="B97" s="14"/>
      <c r="C97" s="14"/>
      <c r="D97" s="14"/>
      <c r="E97" s="14"/>
      <c r="F97" s="15"/>
      <c r="G97" s="14"/>
      <c r="H97" s="14"/>
      <c r="I97" s="14"/>
      <c r="J97" s="14"/>
      <c r="K97" s="14"/>
      <c r="L97" s="16"/>
      <c r="M97" s="16"/>
      <c r="N97" s="17"/>
      <c r="O97" s="16"/>
      <c r="P97" s="14"/>
      <c r="Q97" s="15"/>
      <c r="R97" s="14"/>
      <c r="S97" s="18"/>
      <c r="T97" s="15"/>
      <c r="U97" s="14"/>
      <c r="V97" s="18"/>
      <c r="W97" s="14"/>
    </row>
    <row r="98" customFormat="false" ht="15" hidden="false" customHeight="false" outlineLevel="0" collapsed="false">
      <c r="A98" s="14"/>
      <c r="B98" s="14"/>
      <c r="C98" s="14"/>
      <c r="D98" s="14"/>
      <c r="E98" s="14"/>
      <c r="F98" s="15"/>
      <c r="G98" s="14"/>
      <c r="H98" s="14"/>
      <c r="I98" s="14"/>
      <c r="J98" s="14"/>
      <c r="K98" s="14"/>
      <c r="L98" s="16"/>
      <c r="M98" s="16"/>
      <c r="N98" s="17"/>
      <c r="O98" s="16"/>
      <c r="P98" s="14"/>
      <c r="Q98" s="15"/>
      <c r="R98" s="14"/>
      <c r="S98" s="18"/>
      <c r="T98" s="15"/>
      <c r="U98" s="14"/>
      <c r="V98" s="18"/>
      <c r="W98" s="14"/>
    </row>
    <row r="99" customFormat="false" ht="15" hidden="false" customHeight="false" outlineLevel="0" collapsed="false">
      <c r="A99" s="14"/>
      <c r="B99" s="14"/>
      <c r="C99" s="14"/>
      <c r="D99" s="14"/>
      <c r="E99" s="14"/>
      <c r="F99" s="15"/>
      <c r="G99" s="14"/>
      <c r="H99" s="14"/>
      <c r="I99" s="14"/>
      <c r="J99" s="14"/>
      <c r="K99" s="14"/>
      <c r="L99" s="16"/>
      <c r="M99" s="16"/>
      <c r="N99" s="17"/>
      <c r="O99" s="16"/>
      <c r="P99" s="14"/>
      <c r="Q99" s="15"/>
      <c r="R99" s="14"/>
      <c r="S99" s="18"/>
      <c r="T99" s="15"/>
      <c r="U99" s="14"/>
      <c r="V99" s="18"/>
      <c r="W99" s="14"/>
    </row>
    <row r="100" customFormat="false" ht="15" hidden="false" customHeight="false" outlineLevel="0" collapsed="false">
      <c r="A100" s="14"/>
      <c r="B100" s="14"/>
      <c r="C100" s="14"/>
      <c r="D100" s="14"/>
      <c r="E100" s="14"/>
      <c r="F100" s="15"/>
      <c r="G100" s="14"/>
      <c r="H100" s="14"/>
      <c r="I100" s="14"/>
      <c r="J100" s="14"/>
      <c r="K100" s="14"/>
      <c r="L100" s="16"/>
      <c r="M100" s="16"/>
      <c r="N100" s="17"/>
      <c r="O100" s="16"/>
      <c r="P100" s="14"/>
      <c r="Q100" s="15"/>
      <c r="R100" s="14"/>
      <c r="S100" s="18"/>
      <c r="T100" s="15"/>
      <c r="U100" s="14"/>
      <c r="V100" s="18"/>
      <c r="W100" s="14"/>
    </row>
    <row r="101" customFormat="false" ht="15" hidden="false" customHeight="false" outlineLevel="0" collapsed="false">
      <c r="A101" s="14"/>
      <c r="B101" s="14"/>
      <c r="C101" s="14"/>
      <c r="D101" s="14"/>
      <c r="E101" s="14"/>
      <c r="F101" s="15"/>
      <c r="G101" s="14"/>
      <c r="H101" s="14"/>
      <c r="I101" s="14"/>
      <c r="J101" s="14"/>
      <c r="K101" s="14"/>
      <c r="L101" s="16"/>
      <c r="M101" s="16"/>
      <c r="N101" s="17"/>
      <c r="O101" s="16"/>
      <c r="P101" s="14"/>
      <c r="Q101" s="15"/>
      <c r="R101" s="14"/>
      <c r="S101" s="18"/>
      <c r="T101" s="15"/>
      <c r="U101" s="14"/>
      <c r="V101" s="18"/>
      <c r="W101" s="14"/>
    </row>
    <row r="102" customFormat="false" ht="15" hidden="false" customHeight="false" outlineLevel="0" collapsed="false">
      <c r="A102" s="14"/>
      <c r="B102" s="14"/>
      <c r="C102" s="14"/>
      <c r="D102" s="14"/>
      <c r="E102" s="14"/>
      <c r="F102" s="15"/>
      <c r="G102" s="14"/>
      <c r="H102" s="14"/>
      <c r="I102" s="14"/>
      <c r="J102" s="14"/>
      <c r="K102" s="14"/>
      <c r="L102" s="16"/>
      <c r="M102" s="16"/>
      <c r="N102" s="17"/>
      <c r="O102" s="16"/>
      <c r="P102" s="14"/>
      <c r="Q102" s="15"/>
      <c r="R102" s="14"/>
      <c r="S102" s="18"/>
      <c r="T102" s="15"/>
      <c r="U102" s="14"/>
      <c r="V102" s="18"/>
      <c r="W102" s="14"/>
    </row>
    <row r="103" customFormat="false" ht="15" hidden="false" customHeight="false" outlineLevel="0" collapsed="false">
      <c r="A103" s="14"/>
      <c r="B103" s="14"/>
      <c r="C103" s="14"/>
      <c r="D103" s="14"/>
      <c r="E103" s="14"/>
      <c r="F103" s="15"/>
      <c r="G103" s="14"/>
      <c r="H103" s="14"/>
      <c r="I103" s="14"/>
      <c r="J103" s="14"/>
      <c r="K103" s="14"/>
      <c r="L103" s="16"/>
      <c r="M103" s="16"/>
      <c r="N103" s="17"/>
      <c r="O103" s="16"/>
      <c r="P103" s="14"/>
      <c r="Q103" s="15"/>
      <c r="R103" s="14"/>
      <c r="S103" s="18"/>
      <c r="T103" s="15"/>
      <c r="U103" s="14"/>
      <c r="V103" s="18"/>
      <c r="W103" s="14"/>
    </row>
    <row r="104" customFormat="false" ht="15" hidden="false" customHeight="false" outlineLevel="0" collapsed="false">
      <c r="A104" s="14"/>
      <c r="B104" s="14"/>
      <c r="C104" s="14"/>
      <c r="D104" s="14"/>
      <c r="E104" s="14"/>
      <c r="F104" s="15"/>
      <c r="G104" s="14"/>
      <c r="H104" s="14"/>
      <c r="I104" s="14"/>
      <c r="J104" s="14"/>
      <c r="K104" s="14"/>
      <c r="L104" s="16"/>
      <c r="M104" s="16"/>
      <c r="N104" s="17"/>
      <c r="O104" s="16"/>
      <c r="P104" s="14"/>
      <c r="Q104" s="15"/>
      <c r="R104" s="14"/>
      <c r="S104" s="18"/>
      <c r="T104" s="15"/>
      <c r="U104" s="14"/>
      <c r="V104" s="18"/>
      <c r="W104" s="14"/>
    </row>
    <row r="105" customFormat="false" ht="15" hidden="false" customHeight="false" outlineLevel="0" collapsed="false">
      <c r="A105" s="14"/>
      <c r="B105" s="14"/>
      <c r="C105" s="14"/>
      <c r="D105" s="14"/>
      <c r="E105" s="14"/>
      <c r="F105" s="15"/>
      <c r="G105" s="14"/>
      <c r="H105" s="14"/>
      <c r="I105" s="14"/>
      <c r="J105" s="14"/>
      <c r="K105" s="14"/>
      <c r="L105" s="16"/>
      <c r="M105" s="16"/>
      <c r="N105" s="17"/>
      <c r="O105" s="16"/>
      <c r="P105" s="14"/>
      <c r="Q105" s="15"/>
      <c r="R105" s="14"/>
      <c r="S105" s="18"/>
      <c r="T105" s="15"/>
      <c r="U105" s="14"/>
      <c r="V105" s="18"/>
      <c r="W105" s="14"/>
    </row>
    <row r="106" customFormat="false" ht="15" hidden="false" customHeight="false" outlineLevel="0" collapsed="false">
      <c r="A106" s="14"/>
      <c r="B106" s="14"/>
      <c r="C106" s="14"/>
      <c r="D106" s="14"/>
      <c r="E106" s="14"/>
      <c r="F106" s="15"/>
      <c r="G106" s="14"/>
      <c r="H106" s="14"/>
      <c r="I106" s="14"/>
      <c r="J106" s="14"/>
      <c r="K106" s="14"/>
      <c r="L106" s="16"/>
      <c r="M106" s="16"/>
      <c r="N106" s="17"/>
      <c r="O106" s="16"/>
      <c r="P106" s="14"/>
      <c r="Q106" s="15"/>
      <c r="R106" s="14"/>
      <c r="S106" s="18"/>
      <c r="T106" s="15"/>
      <c r="U106" s="14"/>
      <c r="V106" s="18"/>
      <c r="W106" s="14"/>
    </row>
    <row r="107" customFormat="false" ht="15" hidden="false" customHeight="false" outlineLevel="0" collapsed="false">
      <c r="A107" s="14"/>
      <c r="B107" s="14"/>
      <c r="C107" s="14"/>
      <c r="D107" s="14"/>
      <c r="E107" s="14"/>
      <c r="F107" s="15"/>
      <c r="G107" s="14"/>
      <c r="H107" s="14"/>
      <c r="I107" s="14"/>
      <c r="J107" s="14"/>
      <c r="K107" s="14"/>
      <c r="L107" s="16"/>
      <c r="M107" s="16"/>
      <c r="N107" s="17"/>
      <c r="O107" s="16"/>
      <c r="P107" s="14"/>
      <c r="Q107" s="15"/>
      <c r="R107" s="14"/>
      <c r="S107" s="18"/>
      <c r="T107" s="15"/>
      <c r="U107" s="14"/>
      <c r="V107" s="18"/>
      <c r="W107" s="14"/>
    </row>
    <row r="108" customFormat="false" ht="15" hidden="false" customHeight="false" outlineLevel="0" collapsed="false">
      <c r="A108" s="14"/>
      <c r="B108" s="14"/>
      <c r="C108" s="14"/>
      <c r="D108" s="14"/>
      <c r="E108" s="14"/>
      <c r="F108" s="15"/>
      <c r="G108" s="14"/>
      <c r="H108" s="14"/>
      <c r="I108" s="14"/>
      <c r="J108" s="14"/>
      <c r="K108" s="14"/>
      <c r="L108" s="16"/>
      <c r="M108" s="16"/>
      <c r="N108" s="17"/>
      <c r="O108" s="16"/>
      <c r="P108" s="14"/>
      <c r="Q108" s="15"/>
      <c r="R108" s="14"/>
      <c r="S108" s="18"/>
      <c r="T108" s="15"/>
      <c r="U108" s="14"/>
      <c r="V108" s="18"/>
      <c r="W108" s="14"/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15"/>
      <c r="G109" s="14"/>
      <c r="H109" s="14"/>
      <c r="I109" s="14"/>
      <c r="J109" s="14"/>
      <c r="K109" s="14"/>
      <c r="L109" s="16"/>
      <c r="M109" s="16"/>
      <c r="N109" s="17"/>
      <c r="O109" s="16"/>
      <c r="P109" s="14"/>
      <c r="Q109" s="15"/>
      <c r="R109" s="14"/>
      <c r="S109" s="18"/>
      <c r="T109" s="15"/>
      <c r="U109" s="14"/>
      <c r="V109" s="18"/>
      <c r="W109" s="14"/>
    </row>
    <row r="110" customFormat="false" ht="15" hidden="false" customHeight="false" outlineLevel="0" collapsed="false">
      <c r="A110" s="14"/>
      <c r="B110" s="14"/>
      <c r="C110" s="14"/>
      <c r="D110" s="14"/>
      <c r="E110" s="14"/>
      <c r="F110" s="15"/>
      <c r="G110" s="14"/>
      <c r="H110" s="14"/>
      <c r="I110" s="14"/>
      <c r="J110" s="14"/>
      <c r="K110" s="14"/>
      <c r="L110" s="16"/>
      <c r="M110" s="16"/>
      <c r="N110" s="17"/>
      <c r="O110" s="16"/>
      <c r="P110" s="14"/>
      <c r="Q110" s="15"/>
      <c r="R110" s="14"/>
      <c r="S110" s="18"/>
      <c r="T110" s="15"/>
      <c r="U110" s="14"/>
      <c r="V110" s="18"/>
      <c r="W110" s="14"/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15"/>
      <c r="G111" s="14"/>
      <c r="H111" s="14"/>
      <c r="I111" s="14"/>
      <c r="J111" s="14"/>
      <c r="K111" s="14"/>
      <c r="L111" s="16"/>
      <c r="M111" s="16"/>
      <c r="N111" s="17"/>
      <c r="O111" s="16"/>
      <c r="P111" s="14"/>
      <c r="Q111" s="15"/>
      <c r="R111" s="14"/>
      <c r="S111" s="18"/>
      <c r="T111" s="15"/>
      <c r="U111" s="14"/>
      <c r="V111" s="18"/>
      <c r="W111" s="14"/>
    </row>
    <row r="112" customFormat="false" ht="15" hidden="false" customHeight="false" outlineLevel="0" collapsed="false">
      <c r="A112" s="14"/>
      <c r="B112" s="14"/>
      <c r="C112" s="14"/>
      <c r="D112" s="14"/>
      <c r="E112" s="14"/>
      <c r="F112" s="15"/>
      <c r="G112" s="14"/>
      <c r="H112" s="14"/>
      <c r="I112" s="14"/>
      <c r="J112" s="14"/>
      <c r="K112" s="14"/>
      <c r="L112" s="16"/>
      <c r="M112" s="16"/>
      <c r="N112" s="17"/>
      <c r="O112" s="16"/>
      <c r="P112" s="14"/>
      <c r="Q112" s="15"/>
      <c r="R112" s="14"/>
      <c r="S112" s="18"/>
      <c r="T112" s="15"/>
      <c r="U112" s="14"/>
      <c r="V112" s="18"/>
      <c r="W112" s="14"/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15"/>
      <c r="G113" s="14"/>
      <c r="H113" s="14"/>
      <c r="I113" s="14"/>
      <c r="J113" s="14"/>
      <c r="K113" s="14"/>
      <c r="L113" s="16"/>
      <c r="M113" s="16"/>
      <c r="N113" s="17"/>
      <c r="O113" s="16"/>
      <c r="P113" s="14"/>
      <c r="Q113" s="15"/>
      <c r="R113" s="14"/>
      <c r="S113" s="18"/>
      <c r="T113" s="15"/>
      <c r="U113" s="14"/>
      <c r="V113" s="18"/>
      <c r="W113" s="14"/>
    </row>
    <row r="114" customFormat="false" ht="15" hidden="false" customHeight="false" outlineLevel="0" collapsed="false">
      <c r="A114" s="14"/>
      <c r="B114" s="14"/>
      <c r="C114" s="14"/>
      <c r="D114" s="14"/>
      <c r="E114" s="14"/>
      <c r="F114" s="15"/>
      <c r="G114" s="14"/>
      <c r="H114" s="14"/>
      <c r="I114" s="14"/>
      <c r="J114" s="14"/>
      <c r="K114" s="14"/>
      <c r="L114" s="16"/>
      <c r="M114" s="16"/>
      <c r="N114" s="17"/>
      <c r="O114" s="16"/>
      <c r="P114" s="14"/>
      <c r="Q114" s="15"/>
      <c r="R114" s="14"/>
      <c r="S114" s="18"/>
      <c r="T114" s="15"/>
      <c r="U114" s="14"/>
      <c r="V114" s="18"/>
      <c r="W114" s="14"/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15"/>
      <c r="G115" s="14"/>
      <c r="H115" s="14"/>
      <c r="I115" s="14"/>
      <c r="J115" s="14"/>
      <c r="K115" s="14"/>
      <c r="L115" s="16"/>
      <c r="M115" s="16"/>
      <c r="N115" s="17"/>
      <c r="O115" s="16"/>
      <c r="P115" s="14"/>
      <c r="Q115" s="15"/>
      <c r="R115" s="14"/>
      <c r="S115" s="18"/>
      <c r="T115" s="15"/>
      <c r="U115" s="14"/>
      <c r="V115" s="18"/>
      <c r="W115" s="14"/>
    </row>
    <row r="116" customFormat="false" ht="15" hidden="false" customHeight="false" outlineLevel="0" collapsed="false">
      <c r="A116" s="14"/>
      <c r="B116" s="14"/>
      <c r="C116" s="14"/>
      <c r="D116" s="14"/>
      <c r="E116" s="14"/>
      <c r="F116" s="15"/>
      <c r="G116" s="14"/>
      <c r="H116" s="14"/>
      <c r="I116" s="14"/>
      <c r="J116" s="14"/>
      <c r="K116" s="14"/>
      <c r="L116" s="16"/>
      <c r="M116" s="16"/>
      <c r="N116" s="17"/>
      <c r="O116" s="16"/>
      <c r="P116" s="14"/>
      <c r="Q116" s="15"/>
      <c r="R116" s="14"/>
      <c r="S116" s="18"/>
      <c r="T116" s="15"/>
      <c r="U116" s="14"/>
      <c r="V116" s="18"/>
      <c r="W116" s="14"/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15"/>
      <c r="G117" s="14"/>
      <c r="H117" s="14"/>
      <c r="I117" s="14"/>
      <c r="J117" s="14"/>
      <c r="K117" s="14"/>
      <c r="L117" s="16"/>
      <c r="M117" s="16"/>
      <c r="N117" s="17"/>
      <c r="O117" s="16"/>
      <c r="P117" s="14"/>
      <c r="Q117" s="15"/>
      <c r="R117" s="14"/>
      <c r="S117" s="18"/>
      <c r="T117" s="15"/>
      <c r="U117" s="14"/>
      <c r="V117" s="18"/>
      <c r="W117" s="14"/>
    </row>
    <row r="118" customFormat="false" ht="15" hidden="false" customHeight="false" outlineLevel="0" collapsed="false">
      <c r="A118" s="14"/>
      <c r="B118" s="14"/>
      <c r="C118" s="14"/>
      <c r="D118" s="14"/>
      <c r="E118" s="14"/>
      <c r="F118" s="15"/>
      <c r="G118" s="14"/>
      <c r="H118" s="14"/>
      <c r="I118" s="14"/>
      <c r="J118" s="14"/>
      <c r="K118" s="14"/>
      <c r="L118" s="16"/>
      <c r="M118" s="16"/>
      <c r="N118" s="17"/>
      <c r="O118" s="16"/>
      <c r="P118" s="14"/>
      <c r="Q118" s="15"/>
      <c r="R118" s="14"/>
      <c r="S118" s="18"/>
      <c r="T118" s="15"/>
      <c r="U118" s="14"/>
      <c r="V118" s="18"/>
      <c r="W118" s="14"/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15"/>
      <c r="G119" s="14"/>
      <c r="H119" s="14"/>
      <c r="I119" s="14"/>
      <c r="J119" s="14"/>
      <c r="K119" s="14"/>
      <c r="L119" s="16"/>
      <c r="M119" s="16"/>
      <c r="N119" s="17"/>
      <c r="O119" s="16"/>
      <c r="P119" s="14"/>
      <c r="Q119" s="15"/>
      <c r="R119" s="14"/>
      <c r="S119" s="18"/>
      <c r="T119" s="15"/>
      <c r="U119" s="14"/>
      <c r="V119" s="18"/>
      <c r="W119" s="14"/>
    </row>
    <row r="120" customFormat="false" ht="15" hidden="false" customHeight="false" outlineLevel="0" collapsed="false">
      <c r="A120" s="14"/>
      <c r="B120" s="14"/>
      <c r="C120" s="14"/>
      <c r="D120" s="14"/>
      <c r="E120" s="14"/>
      <c r="F120" s="15"/>
      <c r="G120" s="14"/>
      <c r="H120" s="14"/>
      <c r="I120" s="14"/>
      <c r="J120" s="14"/>
      <c r="K120" s="14"/>
      <c r="L120" s="16"/>
      <c r="M120" s="16"/>
      <c r="N120" s="17"/>
      <c r="O120" s="16"/>
      <c r="P120" s="14"/>
      <c r="Q120" s="15"/>
      <c r="R120" s="14"/>
      <c r="S120" s="18"/>
      <c r="T120" s="15"/>
      <c r="U120" s="14"/>
      <c r="V120" s="18"/>
      <c r="W120" s="14"/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15"/>
      <c r="G121" s="14"/>
      <c r="H121" s="14"/>
      <c r="I121" s="14"/>
      <c r="J121" s="14"/>
      <c r="K121" s="14"/>
      <c r="L121" s="16"/>
      <c r="M121" s="16"/>
      <c r="N121" s="17"/>
      <c r="O121" s="16"/>
      <c r="P121" s="14"/>
      <c r="Q121" s="15"/>
      <c r="R121" s="14"/>
      <c r="S121" s="18"/>
      <c r="T121" s="15"/>
      <c r="U121" s="14"/>
      <c r="V121" s="18"/>
      <c r="W121" s="14"/>
    </row>
    <row r="122" customFormat="false" ht="15" hidden="false" customHeight="false" outlineLevel="0" collapsed="false">
      <c r="A122" s="14"/>
      <c r="B122" s="14"/>
      <c r="C122" s="14"/>
      <c r="D122" s="14"/>
      <c r="E122" s="14"/>
      <c r="F122" s="15"/>
      <c r="G122" s="14"/>
      <c r="H122" s="14"/>
      <c r="I122" s="14"/>
      <c r="J122" s="14"/>
      <c r="K122" s="14"/>
      <c r="L122" s="16"/>
      <c r="M122" s="16"/>
      <c r="N122" s="17"/>
      <c r="O122" s="16"/>
      <c r="P122" s="14"/>
      <c r="Q122" s="15"/>
      <c r="R122" s="14"/>
      <c r="S122" s="18"/>
      <c r="T122" s="15"/>
      <c r="U122" s="14"/>
      <c r="V122" s="18"/>
      <c r="W122" s="14"/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15"/>
      <c r="G123" s="14"/>
      <c r="H123" s="14"/>
      <c r="I123" s="14"/>
      <c r="J123" s="14"/>
      <c r="K123" s="14"/>
      <c r="L123" s="16"/>
      <c r="M123" s="16"/>
      <c r="N123" s="17"/>
      <c r="O123" s="16"/>
      <c r="P123" s="14"/>
      <c r="Q123" s="15"/>
      <c r="R123" s="14"/>
      <c r="S123" s="18"/>
      <c r="T123" s="15"/>
      <c r="U123" s="14"/>
      <c r="V123" s="18"/>
      <c r="W123" s="14"/>
    </row>
    <row r="124" customFormat="false" ht="15" hidden="false" customHeight="false" outlineLevel="0" collapsed="false">
      <c r="A124" s="14"/>
      <c r="B124" s="14"/>
      <c r="C124" s="14"/>
      <c r="D124" s="14"/>
      <c r="E124" s="14"/>
      <c r="F124" s="15"/>
      <c r="G124" s="14"/>
      <c r="H124" s="14"/>
      <c r="I124" s="14"/>
      <c r="J124" s="14"/>
      <c r="K124" s="14"/>
      <c r="L124" s="16"/>
      <c r="M124" s="16"/>
      <c r="N124" s="17"/>
      <c r="O124" s="16"/>
      <c r="P124" s="14"/>
      <c r="Q124" s="15"/>
      <c r="R124" s="14"/>
      <c r="S124" s="18"/>
      <c r="T124" s="15"/>
      <c r="U124" s="14"/>
      <c r="V124" s="18"/>
      <c r="W124" s="14"/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15"/>
      <c r="G125" s="14"/>
      <c r="H125" s="14"/>
      <c r="I125" s="14"/>
      <c r="J125" s="14"/>
      <c r="K125" s="14"/>
      <c r="L125" s="16"/>
      <c r="M125" s="16"/>
      <c r="N125" s="17"/>
      <c r="O125" s="16"/>
      <c r="P125" s="14"/>
      <c r="Q125" s="15"/>
      <c r="R125" s="14"/>
      <c r="S125" s="18"/>
      <c r="T125" s="15"/>
      <c r="U125" s="14"/>
      <c r="V125" s="18"/>
      <c r="W125" s="14"/>
    </row>
    <row r="126" customFormat="false" ht="15" hidden="false" customHeight="false" outlineLevel="0" collapsed="false">
      <c r="A126" s="14"/>
      <c r="B126" s="14"/>
      <c r="C126" s="14"/>
      <c r="D126" s="14"/>
      <c r="E126" s="14"/>
      <c r="F126" s="15"/>
      <c r="G126" s="14"/>
      <c r="H126" s="14"/>
      <c r="I126" s="14"/>
      <c r="J126" s="14"/>
      <c r="K126" s="14"/>
      <c r="L126" s="16"/>
      <c r="M126" s="16"/>
      <c r="N126" s="17"/>
      <c r="O126" s="16"/>
      <c r="P126" s="14"/>
      <c r="Q126" s="15"/>
      <c r="R126" s="14"/>
      <c r="S126" s="18"/>
      <c r="T126" s="15"/>
      <c r="U126" s="14"/>
      <c r="V126" s="18"/>
      <c r="W126" s="14"/>
    </row>
    <row r="127" customFormat="false" ht="15" hidden="false" customHeight="false" outlineLevel="0" collapsed="false">
      <c r="A127" s="14"/>
      <c r="B127" s="14"/>
      <c r="C127" s="14"/>
      <c r="D127" s="14"/>
      <c r="E127" s="14"/>
      <c r="F127" s="15"/>
      <c r="G127" s="14"/>
      <c r="H127" s="14"/>
      <c r="I127" s="14"/>
      <c r="J127" s="14"/>
      <c r="K127" s="14"/>
      <c r="L127" s="16"/>
      <c r="M127" s="16"/>
      <c r="N127" s="17"/>
      <c r="O127" s="16"/>
      <c r="P127" s="14"/>
      <c r="Q127" s="15"/>
      <c r="R127" s="14"/>
      <c r="S127" s="18"/>
      <c r="T127" s="15"/>
      <c r="U127" s="14"/>
      <c r="V127" s="18"/>
      <c r="W127" s="14"/>
    </row>
    <row r="128" customFormat="false" ht="15" hidden="false" customHeight="false" outlineLevel="0" collapsed="false">
      <c r="A128" s="14"/>
      <c r="B128" s="14"/>
      <c r="C128" s="14"/>
      <c r="D128" s="14"/>
      <c r="E128" s="14"/>
      <c r="F128" s="15"/>
      <c r="G128" s="14"/>
      <c r="H128" s="14"/>
      <c r="I128" s="14"/>
      <c r="J128" s="14"/>
      <c r="K128" s="14"/>
      <c r="L128" s="16"/>
      <c r="M128" s="16"/>
      <c r="N128" s="17"/>
      <c r="O128" s="16"/>
      <c r="P128" s="14"/>
      <c r="Q128" s="15"/>
      <c r="R128" s="14"/>
      <c r="S128" s="18"/>
      <c r="T128" s="15"/>
      <c r="U128" s="14"/>
      <c r="V128" s="18"/>
      <c r="W128" s="14"/>
    </row>
    <row r="129" customFormat="false" ht="15" hidden="false" customHeight="false" outlineLevel="0" collapsed="false">
      <c r="A129" s="14"/>
      <c r="B129" s="14"/>
      <c r="C129" s="14"/>
      <c r="D129" s="14"/>
      <c r="E129" s="14"/>
      <c r="F129" s="15"/>
      <c r="G129" s="14"/>
      <c r="H129" s="14"/>
      <c r="I129" s="14"/>
      <c r="J129" s="14"/>
      <c r="K129" s="14"/>
      <c r="L129" s="16"/>
      <c r="M129" s="16"/>
      <c r="N129" s="17"/>
      <c r="O129" s="16"/>
      <c r="P129" s="14"/>
      <c r="Q129" s="15"/>
      <c r="R129" s="14"/>
      <c r="S129" s="18"/>
      <c r="T129" s="15"/>
      <c r="U129" s="14"/>
      <c r="V129" s="18"/>
      <c r="W129" s="14"/>
    </row>
    <row r="130" customFormat="false" ht="15" hidden="false" customHeight="false" outlineLevel="0" collapsed="false">
      <c r="A130" s="14"/>
      <c r="B130" s="14"/>
      <c r="C130" s="14"/>
      <c r="D130" s="14"/>
      <c r="E130" s="14"/>
      <c r="F130" s="15"/>
      <c r="G130" s="14"/>
      <c r="H130" s="14"/>
      <c r="I130" s="14"/>
      <c r="J130" s="14"/>
      <c r="K130" s="14"/>
      <c r="L130" s="16"/>
      <c r="M130" s="16"/>
      <c r="N130" s="17"/>
      <c r="O130" s="16"/>
      <c r="P130" s="14"/>
      <c r="Q130" s="15"/>
      <c r="R130" s="14"/>
      <c r="S130" s="18"/>
      <c r="T130" s="15"/>
      <c r="U130" s="14"/>
      <c r="V130" s="18"/>
      <c r="W130" s="14"/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5"/>
      <c r="G131" s="14"/>
      <c r="H131" s="14"/>
      <c r="I131" s="14"/>
      <c r="J131" s="14"/>
      <c r="K131" s="14"/>
      <c r="L131" s="16"/>
      <c r="M131" s="16"/>
      <c r="N131" s="17"/>
      <c r="O131" s="16"/>
      <c r="P131" s="14"/>
      <c r="Q131" s="15"/>
      <c r="R131" s="14"/>
      <c r="S131" s="18"/>
      <c r="T131" s="15"/>
      <c r="U131" s="14"/>
      <c r="V131" s="18"/>
      <c r="W131" s="14"/>
    </row>
    <row r="132" customFormat="false" ht="15" hidden="false" customHeight="false" outlineLevel="0" collapsed="false">
      <c r="A132" s="14"/>
      <c r="B132" s="14"/>
      <c r="C132" s="14"/>
      <c r="D132" s="14"/>
      <c r="E132" s="14"/>
      <c r="F132" s="15"/>
      <c r="G132" s="14"/>
      <c r="H132" s="14"/>
      <c r="I132" s="14"/>
      <c r="J132" s="14"/>
      <c r="K132" s="14"/>
      <c r="L132" s="16"/>
      <c r="M132" s="16"/>
      <c r="N132" s="17"/>
      <c r="O132" s="16"/>
      <c r="P132" s="14"/>
      <c r="Q132" s="15"/>
      <c r="R132" s="14"/>
      <c r="S132" s="18"/>
      <c r="T132" s="15"/>
      <c r="U132" s="14"/>
      <c r="V132" s="18"/>
      <c r="W132" s="14"/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5"/>
      <c r="G133" s="14"/>
      <c r="H133" s="14"/>
      <c r="I133" s="14"/>
      <c r="J133" s="14"/>
      <c r="K133" s="14"/>
      <c r="L133" s="16"/>
      <c r="M133" s="16"/>
      <c r="N133" s="17"/>
      <c r="O133" s="16"/>
      <c r="P133" s="14"/>
      <c r="Q133" s="15"/>
      <c r="R133" s="14"/>
      <c r="S133" s="18"/>
      <c r="T133" s="15"/>
      <c r="U133" s="14"/>
      <c r="V133" s="18"/>
      <c r="W133" s="14"/>
    </row>
    <row r="134" customFormat="false" ht="15" hidden="false" customHeight="false" outlineLevel="0" collapsed="false">
      <c r="A134" s="14"/>
      <c r="B134" s="14"/>
      <c r="C134" s="14"/>
      <c r="D134" s="14"/>
      <c r="E134" s="14"/>
      <c r="F134" s="15"/>
      <c r="G134" s="14"/>
      <c r="H134" s="14"/>
      <c r="I134" s="14"/>
      <c r="J134" s="14"/>
      <c r="K134" s="14"/>
      <c r="L134" s="16"/>
      <c r="M134" s="16"/>
      <c r="N134" s="17"/>
      <c r="O134" s="16"/>
      <c r="P134" s="14"/>
      <c r="Q134" s="15"/>
      <c r="R134" s="14"/>
      <c r="S134" s="18"/>
      <c r="T134" s="15"/>
      <c r="U134" s="14"/>
      <c r="V134" s="18"/>
      <c r="W134" s="14"/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5"/>
      <c r="G135" s="14"/>
      <c r="H135" s="14"/>
      <c r="I135" s="14"/>
      <c r="J135" s="14"/>
      <c r="K135" s="14"/>
      <c r="L135" s="16"/>
      <c r="M135" s="16"/>
      <c r="N135" s="17"/>
      <c r="O135" s="16"/>
      <c r="P135" s="14"/>
      <c r="Q135" s="15"/>
      <c r="R135" s="14"/>
      <c r="S135" s="18"/>
      <c r="T135" s="15"/>
      <c r="U135" s="14"/>
      <c r="V135" s="18"/>
      <c r="W135" s="14"/>
    </row>
    <row r="136" customFormat="false" ht="15" hidden="false" customHeight="false" outlineLevel="0" collapsed="false">
      <c r="A136" s="14"/>
      <c r="B136" s="14"/>
      <c r="C136" s="14"/>
      <c r="D136" s="14"/>
      <c r="E136" s="14"/>
      <c r="F136" s="15"/>
      <c r="G136" s="14"/>
      <c r="H136" s="14"/>
      <c r="I136" s="14"/>
      <c r="J136" s="14"/>
      <c r="K136" s="14"/>
      <c r="L136" s="16"/>
      <c r="M136" s="16"/>
      <c r="N136" s="17"/>
      <c r="O136" s="16"/>
      <c r="P136" s="14"/>
      <c r="Q136" s="15"/>
      <c r="R136" s="14"/>
      <c r="S136" s="18"/>
      <c r="T136" s="15"/>
      <c r="U136" s="14"/>
      <c r="V136" s="18"/>
      <c r="W136" s="14"/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5"/>
      <c r="G137" s="14"/>
      <c r="H137" s="14"/>
      <c r="I137" s="14"/>
      <c r="J137" s="14"/>
      <c r="K137" s="14"/>
      <c r="L137" s="16"/>
      <c r="M137" s="16"/>
      <c r="N137" s="17"/>
      <c r="O137" s="16"/>
      <c r="P137" s="14"/>
      <c r="Q137" s="15"/>
      <c r="R137" s="14"/>
      <c r="S137" s="18"/>
      <c r="T137" s="15"/>
      <c r="U137" s="14"/>
      <c r="V137" s="18"/>
      <c r="W137" s="14"/>
    </row>
    <row r="138" customFormat="false" ht="15" hidden="false" customHeight="false" outlineLevel="0" collapsed="false">
      <c r="A138" s="14"/>
      <c r="B138" s="14"/>
      <c r="C138" s="14"/>
      <c r="D138" s="14"/>
      <c r="E138" s="14"/>
      <c r="F138" s="15"/>
      <c r="G138" s="14"/>
      <c r="H138" s="14"/>
      <c r="I138" s="14"/>
      <c r="J138" s="14"/>
      <c r="K138" s="14"/>
      <c r="L138" s="16"/>
      <c r="M138" s="16"/>
      <c r="N138" s="17"/>
      <c r="O138" s="16"/>
      <c r="P138" s="14"/>
      <c r="Q138" s="15"/>
      <c r="R138" s="14"/>
      <c r="S138" s="18"/>
      <c r="T138" s="15"/>
      <c r="U138" s="14"/>
      <c r="V138" s="18"/>
      <c r="W138" s="14"/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5"/>
      <c r="G139" s="14"/>
      <c r="H139" s="14"/>
      <c r="I139" s="14"/>
      <c r="J139" s="14"/>
      <c r="K139" s="14"/>
      <c r="L139" s="16"/>
      <c r="M139" s="16"/>
      <c r="N139" s="17"/>
      <c r="O139" s="16"/>
      <c r="P139" s="14"/>
      <c r="Q139" s="15"/>
      <c r="R139" s="14"/>
      <c r="S139" s="18"/>
      <c r="T139" s="15"/>
      <c r="U139" s="14"/>
      <c r="V139" s="18"/>
      <c r="W139" s="14"/>
    </row>
    <row r="140" customFormat="false" ht="15" hidden="false" customHeight="false" outlineLevel="0" collapsed="false">
      <c r="A140" s="14"/>
      <c r="B140" s="14"/>
      <c r="C140" s="14"/>
      <c r="D140" s="14"/>
      <c r="E140" s="14"/>
      <c r="F140" s="15"/>
      <c r="G140" s="14"/>
      <c r="H140" s="14"/>
      <c r="I140" s="14"/>
      <c r="J140" s="14"/>
      <c r="K140" s="14"/>
      <c r="L140" s="16"/>
      <c r="M140" s="16"/>
      <c r="N140" s="17"/>
      <c r="O140" s="16"/>
      <c r="P140" s="14"/>
      <c r="Q140" s="15"/>
      <c r="R140" s="14"/>
      <c r="S140" s="18"/>
      <c r="T140" s="15"/>
      <c r="U140" s="14"/>
      <c r="V140" s="18"/>
      <c r="W140" s="14"/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5"/>
      <c r="G141" s="14"/>
      <c r="H141" s="14"/>
      <c r="I141" s="14"/>
      <c r="J141" s="14"/>
      <c r="K141" s="14"/>
      <c r="L141" s="16"/>
      <c r="M141" s="16"/>
      <c r="N141" s="17"/>
      <c r="O141" s="16"/>
      <c r="P141" s="14"/>
      <c r="Q141" s="15"/>
      <c r="R141" s="14"/>
      <c r="S141" s="18"/>
      <c r="T141" s="15"/>
      <c r="U141" s="14"/>
      <c r="V141" s="18"/>
      <c r="W141" s="14"/>
    </row>
    <row r="142" customFormat="false" ht="15" hidden="false" customHeight="false" outlineLevel="0" collapsed="false">
      <c r="A142" s="14"/>
      <c r="B142" s="14"/>
      <c r="C142" s="14"/>
      <c r="D142" s="14"/>
      <c r="E142" s="14"/>
      <c r="F142" s="15"/>
      <c r="G142" s="14"/>
      <c r="H142" s="14"/>
      <c r="I142" s="14"/>
      <c r="J142" s="14"/>
      <c r="K142" s="14"/>
      <c r="L142" s="16"/>
      <c r="M142" s="16"/>
      <c r="N142" s="17"/>
      <c r="O142" s="16"/>
      <c r="P142" s="14"/>
      <c r="Q142" s="15"/>
      <c r="R142" s="14"/>
      <c r="S142" s="18"/>
      <c r="T142" s="15"/>
      <c r="U142" s="14"/>
      <c r="V142" s="18"/>
      <c r="W142" s="14"/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5"/>
      <c r="G143" s="14"/>
      <c r="H143" s="14"/>
      <c r="I143" s="14"/>
      <c r="J143" s="14"/>
      <c r="K143" s="14"/>
      <c r="L143" s="16"/>
      <c r="M143" s="16"/>
      <c r="N143" s="17"/>
      <c r="O143" s="16"/>
      <c r="P143" s="14"/>
      <c r="Q143" s="15"/>
      <c r="R143" s="14"/>
      <c r="S143" s="18"/>
      <c r="T143" s="15"/>
      <c r="U143" s="14"/>
      <c r="V143" s="18"/>
      <c r="W143" s="14"/>
    </row>
    <row r="144" customFormat="false" ht="15" hidden="false" customHeight="false" outlineLevel="0" collapsed="false">
      <c r="A144" s="14"/>
      <c r="B144" s="14"/>
      <c r="C144" s="14"/>
      <c r="D144" s="14"/>
      <c r="E144" s="14"/>
      <c r="F144" s="15"/>
      <c r="G144" s="14"/>
      <c r="H144" s="14"/>
      <c r="I144" s="14"/>
      <c r="J144" s="14"/>
      <c r="K144" s="14"/>
      <c r="L144" s="16"/>
      <c r="M144" s="16"/>
      <c r="N144" s="17"/>
      <c r="O144" s="16"/>
      <c r="P144" s="14"/>
      <c r="Q144" s="15"/>
      <c r="R144" s="14"/>
      <c r="S144" s="18"/>
      <c r="T144" s="15"/>
      <c r="U144" s="14"/>
      <c r="V144" s="18"/>
      <c r="W144" s="14"/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5"/>
      <c r="G145" s="14"/>
      <c r="H145" s="14"/>
      <c r="I145" s="14"/>
      <c r="J145" s="14"/>
      <c r="K145" s="14"/>
      <c r="L145" s="16"/>
      <c r="M145" s="16"/>
      <c r="N145" s="17"/>
      <c r="O145" s="16"/>
      <c r="P145" s="14"/>
      <c r="Q145" s="15"/>
      <c r="R145" s="14"/>
      <c r="S145" s="18"/>
      <c r="T145" s="15"/>
      <c r="U145" s="14"/>
      <c r="V145" s="18"/>
      <c r="W145" s="14"/>
    </row>
    <row r="146" customFormat="false" ht="15" hidden="false" customHeight="false" outlineLevel="0" collapsed="false">
      <c r="A146" s="14"/>
      <c r="B146" s="14"/>
      <c r="C146" s="14"/>
      <c r="D146" s="14"/>
      <c r="E146" s="14"/>
      <c r="F146" s="15"/>
      <c r="G146" s="14"/>
      <c r="H146" s="14"/>
      <c r="I146" s="14"/>
      <c r="J146" s="14"/>
      <c r="K146" s="14"/>
      <c r="L146" s="16"/>
      <c r="M146" s="16"/>
      <c r="N146" s="17"/>
      <c r="O146" s="16"/>
      <c r="P146" s="14"/>
      <c r="Q146" s="15"/>
      <c r="R146" s="14"/>
      <c r="S146" s="18"/>
      <c r="T146" s="15"/>
      <c r="U146" s="14"/>
      <c r="V146" s="18"/>
      <c r="W146" s="14"/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5"/>
      <c r="G147" s="14"/>
      <c r="H147" s="14"/>
      <c r="I147" s="14"/>
      <c r="J147" s="14"/>
      <c r="K147" s="14"/>
      <c r="L147" s="16"/>
      <c r="M147" s="16"/>
      <c r="N147" s="17"/>
      <c r="O147" s="16"/>
      <c r="P147" s="14"/>
      <c r="Q147" s="15"/>
      <c r="R147" s="14"/>
      <c r="S147" s="18"/>
      <c r="T147" s="15"/>
      <c r="U147" s="14"/>
      <c r="V147" s="18"/>
      <c r="W147" s="14"/>
    </row>
    <row r="148" customFormat="false" ht="15" hidden="false" customHeight="false" outlineLevel="0" collapsed="false">
      <c r="A148" s="14"/>
      <c r="B148" s="14"/>
      <c r="C148" s="14"/>
      <c r="D148" s="14"/>
      <c r="E148" s="14"/>
      <c r="F148" s="15"/>
      <c r="G148" s="14"/>
      <c r="H148" s="14"/>
      <c r="I148" s="14"/>
      <c r="J148" s="14"/>
      <c r="K148" s="14"/>
      <c r="L148" s="16"/>
      <c r="M148" s="16"/>
      <c r="N148" s="17"/>
      <c r="O148" s="16"/>
      <c r="P148" s="14"/>
      <c r="Q148" s="15"/>
      <c r="R148" s="14"/>
      <c r="S148" s="18"/>
      <c r="T148" s="15"/>
      <c r="U148" s="14"/>
      <c r="V148" s="18"/>
      <c r="W148" s="14"/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5"/>
      <c r="G149" s="14"/>
      <c r="H149" s="14"/>
      <c r="I149" s="14"/>
      <c r="J149" s="14"/>
      <c r="K149" s="14"/>
      <c r="L149" s="16"/>
      <c r="M149" s="16"/>
      <c r="N149" s="17"/>
      <c r="O149" s="16"/>
      <c r="P149" s="14"/>
      <c r="Q149" s="15"/>
      <c r="R149" s="14"/>
      <c r="S149" s="18"/>
      <c r="T149" s="15"/>
      <c r="U149" s="14"/>
      <c r="V149" s="18"/>
      <c r="W149" s="14"/>
    </row>
    <row r="150" customFormat="false" ht="15" hidden="false" customHeight="false" outlineLevel="0" collapsed="false">
      <c r="A150" s="14"/>
      <c r="B150" s="14"/>
      <c r="C150" s="14"/>
      <c r="D150" s="14"/>
      <c r="E150" s="14"/>
      <c r="F150" s="15"/>
      <c r="G150" s="14"/>
      <c r="H150" s="14"/>
      <c r="I150" s="14"/>
      <c r="J150" s="14"/>
      <c r="K150" s="14"/>
      <c r="L150" s="16"/>
      <c r="M150" s="16"/>
      <c r="N150" s="17"/>
      <c r="O150" s="16"/>
      <c r="P150" s="14"/>
      <c r="Q150" s="15"/>
      <c r="R150" s="14"/>
      <c r="S150" s="18"/>
      <c r="T150" s="15"/>
      <c r="U150" s="14"/>
      <c r="V150" s="18"/>
      <c r="W150" s="14"/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5"/>
      <c r="G151" s="14"/>
      <c r="H151" s="14"/>
      <c r="I151" s="14"/>
      <c r="J151" s="14"/>
      <c r="K151" s="14"/>
      <c r="L151" s="16"/>
      <c r="M151" s="16"/>
      <c r="N151" s="17"/>
      <c r="O151" s="16"/>
      <c r="P151" s="14"/>
      <c r="Q151" s="15"/>
      <c r="R151" s="14"/>
      <c r="S151" s="18"/>
      <c r="T151" s="15"/>
      <c r="U151" s="14"/>
      <c r="V151" s="18"/>
      <c r="W151" s="14"/>
    </row>
    <row r="152" customFormat="false" ht="15" hidden="false" customHeight="false" outlineLevel="0" collapsed="false">
      <c r="A152" s="14"/>
      <c r="B152" s="14"/>
      <c r="C152" s="14"/>
      <c r="D152" s="14"/>
      <c r="E152" s="14"/>
      <c r="F152" s="15"/>
      <c r="G152" s="14"/>
      <c r="H152" s="14"/>
      <c r="I152" s="14"/>
      <c r="J152" s="14"/>
      <c r="K152" s="14"/>
      <c r="L152" s="16"/>
      <c r="M152" s="16"/>
      <c r="N152" s="17"/>
      <c r="O152" s="16"/>
      <c r="P152" s="14"/>
      <c r="Q152" s="15"/>
      <c r="R152" s="14"/>
      <c r="S152" s="18"/>
      <c r="T152" s="15"/>
      <c r="U152" s="14"/>
      <c r="V152" s="18"/>
      <c r="W152" s="14"/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5"/>
      <c r="G153" s="14"/>
      <c r="H153" s="14"/>
      <c r="I153" s="14"/>
      <c r="J153" s="14"/>
      <c r="K153" s="14"/>
      <c r="L153" s="16"/>
      <c r="M153" s="16"/>
      <c r="N153" s="17"/>
      <c r="O153" s="16"/>
      <c r="P153" s="14"/>
      <c r="Q153" s="15"/>
      <c r="R153" s="14"/>
      <c r="S153" s="18"/>
      <c r="T153" s="15"/>
      <c r="U153" s="14"/>
      <c r="V153" s="18"/>
      <c r="W153" s="14"/>
    </row>
    <row r="154" customFormat="false" ht="15" hidden="false" customHeight="false" outlineLevel="0" collapsed="false">
      <c r="A154" s="14"/>
      <c r="B154" s="14"/>
      <c r="C154" s="14"/>
      <c r="D154" s="14"/>
      <c r="E154" s="14"/>
      <c r="F154" s="15"/>
      <c r="G154" s="14"/>
      <c r="H154" s="14"/>
      <c r="I154" s="14"/>
      <c r="J154" s="14"/>
      <c r="K154" s="14"/>
      <c r="L154" s="16"/>
      <c r="M154" s="16"/>
      <c r="N154" s="17"/>
      <c r="O154" s="16"/>
      <c r="P154" s="14"/>
      <c r="Q154" s="15"/>
      <c r="R154" s="14"/>
      <c r="S154" s="18"/>
      <c r="T154" s="15"/>
      <c r="U154" s="14"/>
      <c r="V154" s="18"/>
      <c r="W154" s="14"/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5"/>
      <c r="G155" s="14"/>
      <c r="H155" s="14"/>
      <c r="I155" s="14"/>
      <c r="J155" s="14"/>
      <c r="K155" s="14"/>
      <c r="L155" s="16"/>
      <c r="M155" s="16"/>
      <c r="N155" s="17"/>
      <c r="O155" s="16"/>
      <c r="P155" s="14"/>
      <c r="Q155" s="15"/>
      <c r="R155" s="14"/>
      <c r="S155" s="18"/>
      <c r="T155" s="15"/>
      <c r="U155" s="14"/>
      <c r="V155" s="18"/>
      <c r="W155" s="14"/>
    </row>
    <row r="156" customFormat="false" ht="15" hidden="false" customHeight="false" outlineLevel="0" collapsed="false">
      <c r="A156" s="14"/>
      <c r="B156" s="14"/>
      <c r="C156" s="14"/>
      <c r="D156" s="14"/>
      <c r="E156" s="14"/>
      <c r="F156" s="15"/>
      <c r="G156" s="14"/>
      <c r="H156" s="14"/>
      <c r="I156" s="14"/>
      <c r="J156" s="14"/>
      <c r="K156" s="14"/>
      <c r="L156" s="16"/>
      <c r="M156" s="16"/>
      <c r="N156" s="17"/>
      <c r="O156" s="16"/>
      <c r="P156" s="14"/>
      <c r="Q156" s="15"/>
      <c r="R156" s="14"/>
      <c r="S156" s="18"/>
      <c r="T156" s="15"/>
      <c r="U156" s="14"/>
      <c r="V156" s="18"/>
      <c r="W156" s="14"/>
    </row>
    <row r="157" customFormat="false" ht="15" hidden="false" customHeight="false" outlineLevel="0" collapsed="false">
      <c r="A157" s="14"/>
      <c r="B157" s="14"/>
      <c r="C157" s="14"/>
      <c r="D157" s="14"/>
      <c r="E157" s="14"/>
      <c r="F157" s="15"/>
      <c r="G157" s="14"/>
      <c r="H157" s="14"/>
      <c r="I157" s="14"/>
      <c r="J157" s="14"/>
      <c r="K157" s="14"/>
      <c r="L157" s="16"/>
      <c r="M157" s="16"/>
      <c r="N157" s="17"/>
      <c r="O157" s="16"/>
      <c r="P157" s="14"/>
      <c r="Q157" s="15"/>
      <c r="R157" s="14"/>
      <c r="S157" s="18"/>
      <c r="T157" s="15"/>
      <c r="U157" s="14"/>
      <c r="V157" s="18"/>
      <c r="W157" s="14"/>
    </row>
    <row r="158" customFormat="false" ht="15" hidden="false" customHeight="false" outlineLevel="0" collapsed="false">
      <c r="A158" s="14"/>
      <c r="B158" s="14"/>
      <c r="C158" s="14"/>
      <c r="D158" s="14"/>
      <c r="E158" s="14"/>
      <c r="F158" s="15"/>
      <c r="G158" s="14"/>
      <c r="H158" s="14"/>
      <c r="I158" s="14"/>
      <c r="J158" s="14"/>
      <c r="K158" s="14"/>
      <c r="L158" s="16"/>
      <c r="M158" s="16"/>
      <c r="N158" s="17"/>
      <c r="O158" s="16"/>
      <c r="P158" s="14"/>
      <c r="Q158" s="15"/>
      <c r="R158" s="14"/>
      <c r="S158" s="18"/>
      <c r="T158" s="15"/>
      <c r="U158" s="14"/>
      <c r="V158" s="18"/>
      <c r="W158" s="14"/>
    </row>
    <row r="159" customFormat="false" ht="15" hidden="false" customHeight="false" outlineLevel="0" collapsed="false">
      <c r="A159" s="14"/>
      <c r="B159" s="14"/>
      <c r="C159" s="14"/>
      <c r="D159" s="14"/>
      <c r="E159" s="14"/>
      <c r="F159" s="15"/>
      <c r="G159" s="14"/>
      <c r="H159" s="14"/>
      <c r="I159" s="14"/>
      <c r="J159" s="14"/>
      <c r="K159" s="14"/>
      <c r="L159" s="16"/>
      <c r="M159" s="16"/>
      <c r="N159" s="17"/>
      <c r="O159" s="16"/>
      <c r="P159" s="14"/>
      <c r="Q159" s="15"/>
      <c r="R159" s="14"/>
      <c r="S159" s="18"/>
      <c r="T159" s="15"/>
      <c r="U159" s="14"/>
      <c r="V159" s="18"/>
      <c r="W159" s="14"/>
    </row>
    <row r="160" customFormat="false" ht="15" hidden="false" customHeight="false" outlineLevel="0" collapsed="false">
      <c r="A160" s="14"/>
      <c r="B160" s="14"/>
      <c r="C160" s="14"/>
      <c r="D160" s="14"/>
      <c r="E160" s="14"/>
      <c r="F160" s="15"/>
      <c r="G160" s="14"/>
      <c r="H160" s="14"/>
      <c r="I160" s="14"/>
      <c r="J160" s="14"/>
      <c r="K160" s="14"/>
      <c r="L160" s="16"/>
      <c r="M160" s="16"/>
      <c r="N160" s="17"/>
      <c r="O160" s="16"/>
      <c r="P160" s="14"/>
      <c r="Q160" s="15"/>
      <c r="R160" s="14"/>
      <c r="S160" s="18"/>
      <c r="T160" s="15"/>
      <c r="U160" s="14"/>
      <c r="V160" s="18"/>
      <c r="W160" s="14"/>
    </row>
    <row r="161" customFormat="false" ht="15" hidden="false" customHeight="false" outlineLevel="0" collapsed="false">
      <c r="A161" s="14"/>
      <c r="B161" s="14"/>
      <c r="C161" s="14"/>
      <c r="D161" s="14"/>
      <c r="E161" s="14"/>
      <c r="F161" s="15"/>
      <c r="G161" s="14"/>
      <c r="H161" s="14"/>
      <c r="I161" s="14"/>
      <c r="J161" s="14"/>
      <c r="K161" s="14"/>
      <c r="L161" s="16"/>
      <c r="M161" s="16"/>
      <c r="N161" s="17"/>
      <c r="O161" s="16"/>
      <c r="P161" s="14"/>
      <c r="Q161" s="15"/>
      <c r="R161" s="14"/>
      <c r="S161" s="18"/>
      <c r="T161" s="15"/>
      <c r="U161" s="14"/>
      <c r="V161" s="18"/>
      <c r="W161" s="14"/>
    </row>
    <row r="162" customFormat="false" ht="15" hidden="false" customHeight="false" outlineLevel="0" collapsed="false">
      <c r="A162" s="14"/>
      <c r="B162" s="14"/>
      <c r="C162" s="14"/>
      <c r="D162" s="14"/>
      <c r="E162" s="14"/>
      <c r="F162" s="15"/>
      <c r="G162" s="14"/>
      <c r="H162" s="14"/>
      <c r="I162" s="14"/>
      <c r="J162" s="14"/>
      <c r="K162" s="14"/>
      <c r="L162" s="16"/>
      <c r="M162" s="16"/>
      <c r="N162" s="17"/>
      <c r="O162" s="16"/>
      <c r="P162" s="14"/>
      <c r="Q162" s="15"/>
      <c r="R162" s="14"/>
      <c r="S162" s="18"/>
      <c r="T162" s="15"/>
      <c r="U162" s="14"/>
      <c r="V162" s="18"/>
      <c r="W162" s="14"/>
    </row>
    <row r="163" customFormat="false" ht="15" hidden="false" customHeight="false" outlineLevel="0" collapsed="false">
      <c r="A163" s="14"/>
      <c r="B163" s="14"/>
      <c r="C163" s="14"/>
      <c r="D163" s="14"/>
      <c r="E163" s="14"/>
      <c r="F163" s="15"/>
      <c r="G163" s="14"/>
      <c r="H163" s="14"/>
      <c r="I163" s="14"/>
      <c r="J163" s="14"/>
      <c r="K163" s="14"/>
      <c r="L163" s="16"/>
      <c r="M163" s="16"/>
      <c r="N163" s="17"/>
      <c r="O163" s="16"/>
      <c r="P163" s="14"/>
      <c r="Q163" s="15"/>
      <c r="R163" s="14"/>
      <c r="S163" s="18"/>
      <c r="T163" s="15"/>
      <c r="U163" s="14"/>
      <c r="V163" s="18"/>
      <c r="W163" s="14"/>
    </row>
    <row r="164" customFormat="false" ht="15" hidden="false" customHeight="false" outlineLevel="0" collapsed="false">
      <c r="A164" s="14"/>
      <c r="B164" s="14"/>
      <c r="C164" s="14"/>
      <c r="D164" s="14"/>
      <c r="E164" s="14"/>
      <c r="F164" s="15"/>
      <c r="G164" s="14"/>
      <c r="H164" s="14"/>
      <c r="I164" s="14"/>
      <c r="J164" s="14"/>
      <c r="K164" s="14"/>
      <c r="L164" s="16"/>
      <c r="M164" s="16"/>
      <c r="N164" s="17"/>
      <c r="O164" s="16"/>
      <c r="P164" s="14"/>
      <c r="Q164" s="15"/>
      <c r="R164" s="14"/>
      <c r="S164" s="18"/>
      <c r="T164" s="15"/>
      <c r="U164" s="14"/>
      <c r="V164" s="18"/>
      <c r="W164" s="14"/>
    </row>
    <row r="165" customFormat="false" ht="15" hidden="false" customHeight="false" outlineLevel="0" collapsed="false">
      <c r="A165" s="14"/>
      <c r="B165" s="14"/>
      <c r="C165" s="14"/>
      <c r="D165" s="14"/>
      <c r="E165" s="14"/>
      <c r="F165" s="15"/>
      <c r="G165" s="14"/>
      <c r="H165" s="14"/>
      <c r="I165" s="14"/>
      <c r="J165" s="14"/>
      <c r="K165" s="14"/>
      <c r="L165" s="16"/>
      <c r="M165" s="16"/>
      <c r="N165" s="17"/>
      <c r="O165" s="16"/>
      <c r="P165" s="14"/>
      <c r="Q165" s="15"/>
      <c r="R165" s="14"/>
      <c r="S165" s="18"/>
      <c r="T165" s="15"/>
      <c r="U165" s="14"/>
      <c r="V165" s="18"/>
      <c r="W165" s="14"/>
    </row>
    <row r="166" customFormat="false" ht="15" hidden="false" customHeight="false" outlineLevel="0" collapsed="false">
      <c r="A166" s="14"/>
      <c r="B166" s="14"/>
      <c r="C166" s="14"/>
      <c r="D166" s="14"/>
      <c r="E166" s="14"/>
      <c r="F166" s="15"/>
      <c r="G166" s="14"/>
      <c r="H166" s="14"/>
      <c r="I166" s="14"/>
      <c r="J166" s="14"/>
      <c r="K166" s="14"/>
      <c r="L166" s="16"/>
      <c r="M166" s="16"/>
      <c r="N166" s="17"/>
      <c r="O166" s="16"/>
      <c r="P166" s="14"/>
      <c r="Q166" s="15"/>
      <c r="R166" s="14"/>
      <c r="S166" s="18"/>
      <c r="T166" s="15"/>
      <c r="U166" s="14"/>
      <c r="V166" s="18"/>
      <c r="W166" s="14"/>
    </row>
    <row r="167" customFormat="false" ht="15" hidden="false" customHeight="false" outlineLevel="0" collapsed="false">
      <c r="A167" s="14"/>
      <c r="B167" s="14"/>
      <c r="C167" s="14"/>
      <c r="D167" s="14"/>
      <c r="E167" s="14"/>
      <c r="F167" s="15"/>
      <c r="G167" s="14"/>
      <c r="H167" s="14"/>
      <c r="I167" s="14"/>
      <c r="J167" s="14"/>
      <c r="K167" s="14"/>
      <c r="L167" s="16"/>
      <c r="M167" s="16"/>
      <c r="N167" s="17"/>
      <c r="O167" s="16"/>
      <c r="P167" s="14"/>
      <c r="Q167" s="15"/>
      <c r="R167" s="14"/>
      <c r="S167" s="18"/>
      <c r="T167" s="15"/>
      <c r="U167" s="14"/>
      <c r="V167" s="18"/>
      <c r="W167" s="14"/>
    </row>
    <row r="168" customFormat="false" ht="15" hidden="false" customHeight="false" outlineLevel="0" collapsed="false">
      <c r="A168" s="14"/>
      <c r="B168" s="14"/>
      <c r="C168" s="14"/>
      <c r="D168" s="14"/>
      <c r="E168" s="14"/>
      <c r="F168" s="15"/>
      <c r="G168" s="14"/>
      <c r="H168" s="14"/>
      <c r="I168" s="14"/>
      <c r="J168" s="14"/>
      <c r="K168" s="14"/>
      <c r="L168" s="16"/>
      <c r="M168" s="16"/>
      <c r="N168" s="17"/>
      <c r="O168" s="16"/>
      <c r="P168" s="14"/>
      <c r="Q168" s="15"/>
      <c r="R168" s="14"/>
      <c r="S168" s="18"/>
      <c r="T168" s="15"/>
      <c r="U168" s="14"/>
      <c r="V168" s="18"/>
      <c r="W168" s="14"/>
    </row>
    <row r="169" customFormat="false" ht="15" hidden="false" customHeight="false" outlineLevel="0" collapsed="false">
      <c r="A169" s="14"/>
      <c r="B169" s="14"/>
      <c r="C169" s="14"/>
      <c r="D169" s="14"/>
      <c r="E169" s="14"/>
      <c r="F169" s="15"/>
      <c r="G169" s="14"/>
      <c r="H169" s="14"/>
      <c r="I169" s="14"/>
      <c r="J169" s="14"/>
      <c r="K169" s="14"/>
      <c r="L169" s="16"/>
      <c r="M169" s="16"/>
      <c r="N169" s="17"/>
      <c r="O169" s="16"/>
      <c r="P169" s="14"/>
      <c r="Q169" s="15"/>
      <c r="R169" s="14"/>
      <c r="S169" s="18"/>
      <c r="T169" s="15"/>
      <c r="U169" s="14"/>
      <c r="V169" s="18"/>
      <c r="W169" s="14"/>
    </row>
    <row r="170" customFormat="false" ht="15" hidden="false" customHeight="false" outlineLevel="0" collapsed="false">
      <c r="A170" s="14"/>
      <c r="B170" s="14"/>
      <c r="C170" s="14"/>
      <c r="D170" s="14"/>
      <c r="E170" s="14"/>
      <c r="F170" s="15"/>
      <c r="G170" s="14"/>
      <c r="H170" s="14"/>
      <c r="I170" s="14"/>
      <c r="J170" s="14"/>
      <c r="K170" s="14"/>
      <c r="L170" s="16"/>
      <c r="M170" s="16"/>
      <c r="N170" s="17"/>
      <c r="O170" s="16"/>
      <c r="P170" s="14"/>
      <c r="Q170" s="15"/>
      <c r="R170" s="14"/>
      <c r="S170" s="18"/>
      <c r="T170" s="15"/>
      <c r="U170" s="14"/>
      <c r="V170" s="18"/>
      <c r="W170" s="14"/>
    </row>
    <row r="171" customFormat="false" ht="15" hidden="false" customHeight="false" outlineLevel="0" collapsed="false">
      <c r="A171" s="14"/>
      <c r="B171" s="14"/>
      <c r="C171" s="14"/>
      <c r="D171" s="14"/>
      <c r="E171" s="14"/>
      <c r="F171" s="15"/>
      <c r="G171" s="14"/>
      <c r="H171" s="14"/>
      <c r="I171" s="14"/>
      <c r="J171" s="14"/>
      <c r="K171" s="14"/>
      <c r="L171" s="16"/>
      <c r="M171" s="16"/>
      <c r="N171" s="17"/>
      <c r="O171" s="16"/>
      <c r="P171" s="14"/>
      <c r="Q171" s="15"/>
      <c r="R171" s="14"/>
      <c r="S171" s="18"/>
      <c r="T171" s="15"/>
      <c r="U171" s="14"/>
      <c r="V171" s="18"/>
      <c r="W171" s="14"/>
    </row>
    <row r="172" customFormat="false" ht="15" hidden="false" customHeight="false" outlineLevel="0" collapsed="false">
      <c r="A172" s="14"/>
      <c r="B172" s="14"/>
      <c r="C172" s="14"/>
      <c r="D172" s="14"/>
      <c r="E172" s="14"/>
      <c r="F172" s="15"/>
      <c r="G172" s="14"/>
      <c r="H172" s="14"/>
      <c r="I172" s="14"/>
      <c r="J172" s="14"/>
      <c r="K172" s="14"/>
      <c r="L172" s="16"/>
      <c r="M172" s="16"/>
      <c r="N172" s="17"/>
      <c r="O172" s="16"/>
      <c r="P172" s="14"/>
      <c r="Q172" s="15"/>
      <c r="R172" s="14"/>
      <c r="S172" s="18"/>
      <c r="T172" s="15"/>
      <c r="U172" s="14"/>
      <c r="V172" s="18"/>
      <c r="W172" s="14"/>
    </row>
    <row r="173" customFormat="false" ht="15" hidden="false" customHeight="false" outlineLevel="0" collapsed="false">
      <c r="A173" s="14"/>
      <c r="B173" s="14"/>
      <c r="C173" s="14"/>
      <c r="D173" s="14"/>
      <c r="E173" s="14"/>
      <c r="F173" s="15"/>
      <c r="G173" s="14"/>
      <c r="H173" s="14"/>
      <c r="I173" s="14"/>
      <c r="J173" s="14"/>
      <c r="K173" s="14"/>
      <c r="L173" s="16"/>
      <c r="M173" s="16"/>
      <c r="N173" s="17"/>
      <c r="O173" s="16"/>
      <c r="P173" s="14"/>
      <c r="Q173" s="15"/>
      <c r="R173" s="14"/>
      <c r="S173" s="18"/>
      <c r="T173" s="15"/>
      <c r="U173" s="14"/>
      <c r="V173" s="18"/>
      <c r="W173" s="14"/>
    </row>
    <row r="174" customFormat="false" ht="15" hidden="false" customHeight="false" outlineLevel="0" collapsed="false">
      <c r="A174" s="14"/>
      <c r="B174" s="14"/>
      <c r="C174" s="14"/>
      <c r="D174" s="14"/>
      <c r="E174" s="14"/>
      <c r="F174" s="15"/>
      <c r="G174" s="14"/>
      <c r="H174" s="14"/>
      <c r="I174" s="14"/>
      <c r="J174" s="14"/>
      <c r="K174" s="14"/>
      <c r="L174" s="16"/>
      <c r="M174" s="16"/>
      <c r="N174" s="17"/>
      <c r="O174" s="16"/>
      <c r="P174" s="14"/>
      <c r="Q174" s="15"/>
      <c r="R174" s="14"/>
      <c r="S174" s="18"/>
      <c r="T174" s="15"/>
      <c r="U174" s="14"/>
      <c r="V174" s="18"/>
      <c r="W174" s="14"/>
    </row>
    <row r="175" customFormat="false" ht="15" hidden="false" customHeight="false" outlineLevel="0" collapsed="false">
      <c r="A175" s="14"/>
      <c r="B175" s="14"/>
      <c r="C175" s="14"/>
      <c r="D175" s="14"/>
      <c r="E175" s="14"/>
      <c r="F175" s="15"/>
      <c r="G175" s="14"/>
      <c r="H175" s="14"/>
      <c r="I175" s="14"/>
      <c r="J175" s="14"/>
      <c r="K175" s="14"/>
      <c r="L175" s="16"/>
      <c r="M175" s="16"/>
      <c r="N175" s="17"/>
      <c r="O175" s="16"/>
      <c r="P175" s="14"/>
      <c r="Q175" s="15"/>
      <c r="R175" s="14"/>
      <c r="S175" s="18"/>
      <c r="T175" s="15"/>
      <c r="U175" s="14"/>
      <c r="V175" s="18"/>
      <c r="W175" s="14"/>
    </row>
    <row r="176" customFormat="false" ht="15" hidden="false" customHeight="false" outlineLevel="0" collapsed="false">
      <c r="A176" s="14"/>
      <c r="B176" s="14"/>
      <c r="C176" s="14"/>
      <c r="D176" s="14"/>
      <c r="E176" s="14"/>
      <c r="F176" s="15"/>
      <c r="G176" s="14"/>
      <c r="H176" s="14"/>
      <c r="I176" s="14"/>
      <c r="J176" s="14"/>
      <c r="K176" s="14"/>
      <c r="L176" s="16"/>
      <c r="M176" s="16"/>
      <c r="N176" s="17"/>
      <c r="O176" s="16"/>
      <c r="P176" s="14"/>
      <c r="Q176" s="15"/>
      <c r="R176" s="14"/>
      <c r="S176" s="18"/>
      <c r="T176" s="15"/>
      <c r="U176" s="14"/>
      <c r="V176" s="18"/>
      <c r="W176" s="14"/>
    </row>
    <row r="177" customFormat="false" ht="15" hidden="false" customHeight="false" outlineLevel="0" collapsed="false">
      <c r="A177" s="14"/>
      <c r="B177" s="14"/>
      <c r="C177" s="14"/>
      <c r="D177" s="14"/>
      <c r="E177" s="14"/>
      <c r="F177" s="15"/>
      <c r="G177" s="14"/>
      <c r="H177" s="14"/>
      <c r="I177" s="14"/>
      <c r="J177" s="14"/>
      <c r="K177" s="14"/>
      <c r="L177" s="16"/>
      <c r="M177" s="16"/>
      <c r="N177" s="17"/>
      <c r="O177" s="16"/>
      <c r="P177" s="14"/>
      <c r="Q177" s="15"/>
      <c r="R177" s="14"/>
      <c r="S177" s="18"/>
      <c r="T177" s="15"/>
      <c r="U177" s="14"/>
      <c r="V177" s="18"/>
      <c r="W177" s="14"/>
    </row>
    <row r="178" customFormat="false" ht="15" hidden="false" customHeight="false" outlineLevel="0" collapsed="false">
      <c r="A178" s="14"/>
      <c r="B178" s="14"/>
      <c r="C178" s="14"/>
      <c r="D178" s="14"/>
      <c r="E178" s="14"/>
      <c r="F178" s="15"/>
      <c r="G178" s="14"/>
      <c r="H178" s="14"/>
      <c r="I178" s="14"/>
      <c r="J178" s="14"/>
      <c r="K178" s="14"/>
      <c r="L178" s="16"/>
      <c r="M178" s="16"/>
      <c r="N178" s="17"/>
      <c r="O178" s="16"/>
      <c r="P178" s="14"/>
      <c r="Q178" s="15"/>
      <c r="R178" s="14"/>
      <c r="S178" s="18"/>
      <c r="T178" s="15"/>
      <c r="U178" s="14"/>
      <c r="V178" s="18"/>
      <c r="W178" s="14"/>
    </row>
    <row r="179" customFormat="false" ht="15" hidden="false" customHeight="false" outlineLevel="0" collapsed="false">
      <c r="A179" s="14"/>
      <c r="B179" s="14"/>
      <c r="C179" s="14"/>
      <c r="D179" s="14"/>
      <c r="E179" s="14"/>
      <c r="F179" s="15"/>
      <c r="G179" s="14"/>
      <c r="H179" s="14"/>
      <c r="I179" s="14"/>
      <c r="J179" s="14"/>
      <c r="K179" s="14"/>
      <c r="L179" s="16"/>
      <c r="M179" s="16"/>
      <c r="N179" s="17"/>
      <c r="O179" s="16"/>
      <c r="P179" s="14"/>
      <c r="Q179" s="15"/>
      <c r="R179" s="14"/>
      <c r="S179" s="18"/>
      <c r="T179" s="15"/>
      <c r="U179" s="14"/>
      <c r="V179" s="18"/>
      <c r="W179" s="14"/>
    </row>
    <row r="180" customFormat="false" ht="15" hidden="false" customHeight="false" outlineLevel="0" collapsed="false">
      <c r="A180" s="14"/>
      <c r="B180" s="14"/>
      <c r="C180" s="14"/>
      <c r="D180" s="14"/>
      <c r="E180" s="14"/>
      <c r="F180" s="15"/>
      <c r="G180" s="14"/>
      <c r="H180" s="14"/>
      <c r="I180" s="14"/>
      <c r="J180" s="14"/>
      <c r="K180" s="14"/>
      <c r="L180" s="16"/>
      <c r="M180" s="16"/>
      <c r="N180" s="17"/>
      <c r="O180" s="16"/>
      <c r="P180" s="14"/>
      <c r="Q180" s="15"/>
      <c r="R180" s="14"/>
      <c r="S180" s="18"/>
      <c r="T180" s="15"/>
      <c r="U180" s="14"/>
      <c r="V180" s="18"/>
      <c r="W180" s="14"/>
    </row>
    <row r="181" customFormat="false" ht="15" hidden="false" customHeight="false" outlineLevel="0" collapsed="false">
      <c r="A181" s="14"/>
      <c r="B181" s="14"/>
      <c r="C181" s="14"/>
      <c r="D181" s="14"/>
      <c r="E181" s="14"/>
      <c r="F181" s="15"/>
      <c r="G181" s="14"/>
      <c r="H181" s="14"/>
      <c r="I181" s="14"/>
      <c r="J181" s="14"/>
      <c r="K181" s="14"/>
      <c r="L181" s="16"/>
      <c r="M181" s="16"/>
      <c r="N181" s="17"/>
      <c r="O181" s="16"/>
      <c r="P181" s="14"/>
      <c r="Q181" s="15"/>
      <c r="R181" s="14"/>
      <c r="S181" s="18"/>
      <c r="T181" s="15"/>
      <c r="U181" s="14"/>
      <c r="V181" s="18"/>
      <c r="W181" s="14"/>
    </row>
    <row r="182" customFormat="false" ht="15" hidden="false" customHeight="false" outlineLevel="0" collapsed="false">
      <c r="A182" s="14"/>
      <c r="B182" s="14"/>
      <c r="C182" s="14"/>
      <c r="D182" s="14"/>
      <c r="E182" s="14"/>
      <c r="F182" s="15"/>
      <c r="G182" s="14"/>
      <c r="H182" s="14"/>
      <c r="I182" s="14"/>
      <c r="J182" s="14"/>
      <c r="K182" s="14"/>
      <c r="L182" s="16"/>
      <c r="M182" s="16"/>
      <c r="N182" s="17"/>
      <c r="O182" s="16"/>
      <c r="P182" s="14"/>
      <c r="Q182" s="15"/>
      <c r="R182" s="14"/>
      <c r="S182" s="18"/>
      <c r="T182" s="15"/>
      <c r="U182" s="14"/>
      <c r="V182" s="18"/>
      <c r="W182" s="14"/>
    </row>
    <row r="183" customFormat="false" ht="15" hidden="false" customHeight="false" outlineLevel="0" collapsed="false">
      <c r="A183" s="14"/>
      <c r="B183" s="14"/>
      <c r="C183" s="14"/>
      <c r="D183" s="14"/>
      <c r="E183" s="14"/>
      <c r="F183" s="15"/>
      <c r="G183" s="14"/>
      <c r="H183" s="14"/>
      <c r="I183" s="14"/>
      <c r="J183" s="14"/>
      <c r="K183" s="14"/>
      <c r="L183" s="16"/>
      <c r="M183" s="16"/>
      <c r="N183" s="17"/>
      <c r="O183" s="16"/>
      <c r="P183" s="14"/>
      <c r="Q183" s="15"/>
      <c r="R183" s="14"/>
      <c r="S183" s="18"/>
      <c r="T183" s="15"/>
      <c r="U183" s="14"/>
      <c r="V183" s="18"/>
      <c r="W183" s="14"/>
    </row>
    <row r="184" customFormat="false" ht="15" hidden="false" customHeight="false" outlineLevel="0" collapsed="false">
      <c r="A184" s="14"/>
      <c r="B184" s="14"/>
      <c r="C184" s="14"/>
      <c r="D184" s="14"/>
      <c r="E184" s="14"/>
      <c r="F184" s="15"/>
      <c r="G184" s="14"/>
      <c r="H184" s="14"/>
      <c r="I184" s="14"/>
      <c r="J184" s="14"/>
      <c r="K184" s="14"/>
      <c r="L184" s="16"/>
      <c r="M184" s="16"/>
      <c r="N184" s="17"/>
      <c r="O184" s="16"/>
      <c r="P184" s="14"/>
      <c r="Q184" s="15"/>
      <c r="R184" s="14"/>
      <c r="S184" s="18"/>
      <c r="T184" s="15"/>
      <c r="U184" s="14"/>
      <c r="V184" s="18"/>
      <c r="W184" s="14"/>
    </row>
    <row r="185" customFormat="false" ht="15" hidden="false" customHeight="false" outlineLevel="0" collapsed="false">
      <c r="A185" s="14"/>
      <c r="B185" s="14"/>
      <c r="C185" s="14"/>
      <c r="D185" s="14"/>
      <c r="E185" s="14"/>
      <c r="F185" s="15"/>
      <c r="G185" s="14"/>
      <c r="H185" s="14"/>
      <c r="I185" s="14"/>
      <c r="J185" s="14"/>
      <c r="K185" s="14"/>
      <c r="L185" s="16"/>
      <c r="M185" s="16"/>
      <c r="N185" s="17"/>
      <c r="O185" s="16"/>
      <c r="P185" s="14"/>
      <c r="Q185" s="15"/>
      <c r="R185" s="14"/>
      <c r="S185" s="18"/>
      <c r="T185" s="15"/>
      <c r="U185" s="14"/>
      <c r="V185" s="18"/>
      <c r="W185" s="14"/>
    </row>
    <row r="186" customFormat="false" ht="15" hidden="false" customHeight="false" outlineLevel="0" collapsed="false">
      <c r="A186" s="14"/>
      <c r="B186" s="14"/>
      <c r="C186" s="14"/>
      <c r="D186" s="14"/>
      <c r="E186" s="14"/>
      <c r="F186" s="15"/>
      <c r="G186" s="14"/>
      <c r="H186" s="14"/>
      <c r="I186" s="14"/>
      <c r="J186" s="14"/>
      <c r="K186" s="14"/>
      <c r="L186" s="16"/>
      <c r="M186" s="16"/>
      <c r="N186" s="17"/>
      <c r="O186" s="16"/>
      <c r="P186" s="14"/>
      <c r="Q186" s="15"/>
      <c r="R186" s="14"/>
      <c r="S186" s="18"/>
      <c r="T186" s="15"/>
      <c r="U186" s="14"/>
      <c r="V186" s="18"/>
      <c r="W186" s="14"/>
    </row>
    <row r="187" customFormat="false" ht="15" hidden="false" customHeight="false" outlineLevel="0" collapsed="false">
      <c r="A187" s="14"/>
      <c r="B187" s="14"/>
      <c r="C187" s="14"/>
      <c r="D187" s="14"/>
      <c r="E187" s="14"/>
      <c r="F187" s="15"/>
      <c r="G187" s="14"/>
      <c r="H187" s="14"/>
      <c r="I187" s="14"/>
      <c r="J187" s="14"/>
      <c r="K187" s="14"/>
      <c r="L187" s="16"/>
      <c r="M187" s="16"/>
      <c r="N187" s="17"/>
      <c r="O187" s="16"/>
      <c r="P187" s="14"/>
      <c r="Q187" s="15"/>
      <c r="R187" s="14"/>
      <c r="S187" s="18"/>
      <c r="T187" s="15"/>
      <c r="U187" s="14"/>
      <c r="V187" s="18"/>
      <c r="W187" s="14"/>
    </row>
    <row r="188" customFormat="false" ht="15" hidden="false" customHeight="false" outlineLevel="0" collapsed="false">
      <c r="A188" s="14"/>
      <c r="B188" s="14"/>
      <c r="C188" s="14"/>
      <c r="D188" s="14"/>
      <c r="E188" s="14"/>
      <c r="F188" s="15"/>
      <c r="G188" s="14"/>
      <c r="H188" s="14"/>
      <c r="I188" s="14"/>
      <c r="J188" s="14"/>
      <c r="K188" s="14"/>
      <c r="L188" s="16"/>
      <c r="M188" s="16"/>
      <c r="N188" s="17"/>
      <c r="O188" s="16"/>
      <c r="P188" s="14"/>
      <c r="Q188" s="15"/>
      <c r="R188" s="14"/>
      <c r="S188" s="18"/>
      <c r="T188" s="15"/>
      <c r="U188" s="14"/>
      <c r="V188" s="18"/>
      <c r="W188" s="14"/>
    </row>
    <row r="189" customFormat="false" ht="15" hidden="false" customHeight="false" outlineLevel="0" collapsed="false">
      <c r="A189" s="14"/>
      <c r="B189" s="14"/>
      <c r="C189" s="14"/>
      <c r="D189" s="14"/>
      <c r="E189" s="14"/>
      <c r="F189" s="15"/>
      <c r="G189" s="14"/>
      <c r="H189" s="14"/>
      <c r="I189" s="14"/>
      <c r="J189" s="14"/>
      <c r="K189" s="14"/>
      <c r="L189" s="16"/>
      <c r="M189" s="16"/>
      <c r="N189" s="17"/>
      <c r="O189" s="16"/>
      <c r="P189" s="14"/>
      <c r="Q189" s="15"/>
      <c r="R189" s="14"/>
      <c r="S189" s="18"/>
      <c r="T189" s="15"/>
      <c r="U189" s="14"/>
      <c r="V189" s="18"/>
      <c r="W189" s="14"/>
    </row>
    <row r="190" customFormat="false" ht="15" hidden="false" customHeight="false" outlineLevel="0" collapsed="false">
      <c r="A190" s="14"/>
      <c r="B190" s="14"/>
      <c r="C190" s="14"/>
      <c r="D190" s="14"/>
      <c r="E190" s="14"/>
      <c r="F190" s="15"/>
      <c r="G190" s="14"/>
      <c r="H190" s="14"/>
      <c r="I190" s="14"/>
      <c r="J190" s="14"/>
      <c r="K190" s="14"/>
      <c r="L190" s="16"/>
      <c r="M190" s="16"/>
      <c r="N190" s="17"/>
      <c r="O190" s="16"/>
      <c r="P190" s="14"/>
      <c r="Q190" s="15"/>
      <c r="R190" s="14"/>
      <c r="S190" s="18"/>
      <c r="T190" s="15"/>
      <c r="U190" s="14"/>
      <c r="V190" s="18"/>
      <c r="W190" s="14"/>
    </row>
    <row r="191" customFormat="false" ht="15" hidden="false" customHeight="false" outlineLevel="0" collapsed="false">
      <c r="A191" s="14"/>
      <c r="B191" s="14"/>
      <c r="C191" s="14"/>
      <c r="D191" s="14"/>
      <c r="E191" s="14"/>
      <c r="F191" s="15"/>
      <c r="G191" s="14"/>
      <c r="H191" s="14"/>
      <c r="I191" s="14"/>
      <c r="J191" s="14"/>
      <c r="K191" s="14"/>
      <c r="L191" s="16"/>
      <c r="M191" s="16"/>
      <c r="N191" s="17"/>
      <c r="O191" s="16"/>
      <c r="P191" s="14"/>
      <c r="Q191" s="15"/>
      <c r="R191" s="14"/>
      <c r="S191" s="18"/>
      <c r="T191" s="15"/>
      <c r="U191" s="14"/>
      <c r="V191" s="18"/>
      <c r="W191" s="14"/>
    </row>
    <row r="192" customFormat="false" ht="15" hidden="false" customHeight="false" outlineLevel="0" collapsed="false">
      <c r="A192" s="14"/>
      <c r="B192" s="14"/>
      <c r="C192" s="14"/>
      <c r="D192" s="14"/>
      <c r="E192" s="14"/>
      <c r="F192" s="15"/>
      <c r="G192" s="14"/>
      <c r="H192" s="14"/>
      <c r="I192" s="14"/>
      <c r="J192" s="14"/>
      <c r="K192" s="14"/>
      <c r="L192" s="16"/>
      <c r="M192" s="16"/>
      <c r="N192" s="17"/>
      <c r="O192" s="16"/>
      <c r="P192" s="14"/>
      <c r="Q192" s="15"/>
      <c r="R192" s="14"/>
      <c r="S192" s="18"/>
      <c r="T192" s="15"/>
      <c r="U192" s="14"/>
      <c r="V192" s="18"/>
      <c r="W192" s="14"/>
    </row>
    <row r="193" customFormat="false" ht="15" hidden="false" customHeight="false" outlineLevel="0" collapsed="false">
      <c r="A193" s="14"/>
      <c r="B193" s="14"/>
      <c r="C193" s="14"/>
      <c r="D193" s="14"/>
      <c r="E193" s="14"/>
      <c r="F193" s="15"/>
      <c r="G193" s="14"/>
      <c r="H193" s="14"/>
      <c r="I193" s="14"/>
      <c r="J193" s="14"/>
      <c r="K193" s="14"/>
      <c r="L193" s="16"/>
      <c r="M193" s="16"/>
      <c r="N193" s="17"/>
      <c r="O193" s="16"/>
      <c r="P193" s="14"/>
      <c r="Q193" s="15"/>
      <c r="R193" s="14"/>
      <c r="S193" s="18"/>
      <c r="T193" s="15"/>
      <c r="U193" s="14"/>
      <c r="V193" s="18"/>
      <c r="W193" s="14"/>
    </row>
    <row r="194" customFormat="false" ht="15" hidden="false" customHeight="false" outlineLevel="0" collapsed="false">
      <c r="A194" s="14"/>
      <c r="B194" s="14"/>
      <c r="C194" s="14"/>
      <c r="D194" s="14"/>
      <c r="E194" s="14"/>
      <c r="F194" s="15"/>
      <c r="G194" s="14"/>
      <c r="H194" s="14"/>
      <c r="I194" s="14"/>
      <c r="J194" s="14"/>
      <c r="K194" s="14"/>
      <c r="L194" s="16"/>
      <c r="M194" s="16"/>
      <c r="N194" s="17"/>
      <c r="O194" s="16"/>
      <c r="P194" s="14"/>
      <c r="Q194" s="15"/>
      <c r="R194" s="14"/>
      <c r="S194" s="18"/>
      <c r="T194" s="15"/>
      <c r="U194" s="14"/>
      <c r="V194" s="18"/>
      <c r="W194" s="14"/>
    </row>
    <row r="195" customFormat="false" ht="15" hidden="false" customHeight="false" outlineLevel="0" collapsed="false">
      <c r="A195" s="14"/>
      <c r="B195" s="14"/>
      <c r="C195" s="14"/>
      <c r="D195" s="14"/>
      <c r="E195" s="14"/>
      <c r="F195" s="15"/>
      <c r="G195" s="14"/>
      <c r="H195" s="14"/>
      <c r="I195" s="14"/>
      <c r="J195" s="14"/>
      <c r="K195" s="14"/>
      <c r="L195" s="16"/>
      <c r="M195" s="16"/>
      <c r="N195" s="17"/>
      <c r="O195" s="16"/>
      <c r="P195" s="14"/>
      <c r="Q195" s="15"/>
      <c r="R195" s="14"/>
      <c r="S195" s="18"/>
      <c r="T195" s="15"/>
      <c r="U195" s="14"/>
      <c r="V195" s="18"/>
      <c r="W195" s="14"/>
    </row>
    <row r="196" customFormat="false" ht="15" hidden="false" customHeight="false" outlineLevel="0" collapsed="false">
      <c r="A196" s="14"/>
      <c r="B196" s="14"/>
      <c r="C196" s="14"/>
      <c r="D196" s="14"/>
      <c r="E196" s="14"/>
      <c r="F196" s="15"/>
      <c r="G196" s="14"/>
      <c r="H196" s="14"/>
      <c r="I196" s="14"/>
      <c r="J196" s="14"/>
      <c r="K196" s="14"/>
      <c r="L196" s="16"/>
      <c r="M196" s="16"/>
      <c r="N196" s="17"/>
      <c r="O196" s="16"/>
      <c r="P196" s="14"/>
      <c r="Q196" s="15"/>
      <c r="R196" s="14"/>
      <c r="S196" s="18"/>
      <c r="T196" s="15"/>
      <c r="U196" s="14"/>
      <c r="V196" s="18"/>
      <c r="W196" s="14"/>
    </row>
    <row r="197" customFormat="false" ht="15" hidden="false" customHeight="false" outlineLevel="0" collapsed="false">
      <c r="A197" s="14"/>
      <c r="B197" s="14"/>
      <c r="C197" s="14"/>
      <c r="D197" s="14"/>
      <c r="E197" s="14"/>
      <c r="F197" s="15"/>
      <c r="G197" s="14"/>
      <c r="H197" s="14"/>
      <c r="I197" s="14"/>
      <c r="J197" s="14"/>
      <c r="K197" s="14"/>
      <c r="L197" s="16"/>
      <c r="M197" s="16"/>
      <c r="N197" s="17"/>
      <c r="O197" s="16"/>
      <c r="P197" s="14"/>
      <c r="Q197" s="15"/>
      <c r="R197" s="14"/>
      <c r="S197" s="18"/>
      <c r="T197" s="15"/>
      <c r="U197" s="14"/>
      <c r="V197" s="18"/>
      <c r="W197" s="14"/>
    </row>
    <row r="198" customFormat="false" ht="15" hidden="false" customHeight="false" outlineLevel="0" collapsed="false">
      <c r="A198" s="14"/>
      <c r="B198" s="14"/>
      <c r="C198" s="14"/>
      <c r="D198" s="14"/>
      <c r="E198" s="14"/>
      <c r="F198" s="15"/>
      <c r="G198" s="14"/>
      <c r="H198" s="14"/>
      <c r="I198" s="14"/>
      <c r="J198" s="14"/>
      <c r="K198" s="14"/>
      <c r="L198" s="16"/>
      <c r="M198" s="16"/>
      <c r="N198" s="17"/>
      <c r="O198" s="16"/>
      <c r="P198" s="14"/>
      <c r="Q198" s="15"/>
      <c r="R198" s="14"/>
      <c r="S198" s="18"/>
      <c r="T198" s="15"/>
      <c r="U198" s="14"/>
      <c r="V198" s="18"/>
      <c r="W198" s="14"/>
    </row>
    <row r="199" customFormat="false" ht="15" hidden="false" customHeight="false" outlineLevel="0" collapsed="false">
      <c r="A199" s="14"/>
      <c r="B199" s="14"/>
      <c r="C199" s="14"/>
      <c r="D199" s="14"/>
      <c r="E199" s="14"/>
      <c r="F199" s="15"/>
      <c r="G199" s="14"/>
      <c r="H199" s="14"/>
      <c r="I199" s="14"/>
      <c r="J199" s="14"/>
      <c r="K199" s="14"/>
      <c r="L199" s="16"/>
      <c r="M199" s="16"/>
      <c r="N199" s="17"/>
      <c r="O199" s="16"/>
      <c r="P199" s="14"/>
      <c r="Q199" s="15"/>
      <c r="R199" s="14"/>
      <c r="S199" s="18"/>
      <c r="T199" s="15"/>
      <c r="U199" s="14"/>
      <c r="V199" s="18"/>
      <c r="W199" s="14"/>
    </row>
    <row r="200" customFormat="false" ht="15" hidden="false" customHeight="false" outlineLevel="0" collapsed="false">
      <c r="A200" s="14"/>
      <c r="B200" s="14"/>
      <c r="C200" s="14"/>
      <c r="D200" s="14"/>
      <c r="E200" s="14"/>
      <c r="F200" s="15"/>
      <c r="G200" s="14"/>
      <c r="H200" s="14"/>
      <c r="I200" s="14"/>
      <c r="J200" s="14"/>
      <c r="K200" s="14"/>
      <c r="L200" s="16"/>
      <c r="M200" s="16"/>
      <c r="N200" s="17"/>
      <c r="O200" s="16"/>
      <c r="P200" s="14"/>
      <c r="Q200" s="15"/>
      <c r="R200" s="14"/>
      <c r="S200" s="18"/>
      <c r="T200" s="15"/>
      <c r="U200" s="14"/>
      <c r="V200" s="18"/>
      <c r="W200" s="14"/>
    </row>
    <row r="201" customFormat="false" ht="15" hidden="false" customHeight="false" outlineLevel="0" collapsed="false">
      <c r="A201" s="14"/>
      <c r="B201" s="14"/>
      <c r="C201" s="14"/>
      <c r="D201" s="14"/>
      <c r="E201" s="14"/>
      <c r="F201" s="15"/>
      <c r="G201" s="14"/>
      <c r="H201" s="14"/>
      <c r="I201" s="14"/>
      <c r="J201" s="14"/>
      <c r="K201" s="14"/>
      <c r="L201" s="16"/>
      <c r="M201" s="16"/>
      <c r="N201" s="17"/>
      <c r="O201" s="16"/>
      <c r="P201" s="14"/>
      <c r="Q201" s="15"/>
      <c r="R201" s="14"/>
      <c r="S201" s="18"/>
      <c r="T201" s="15"/>
      <c r="U201" s="14"/>
      <c r="V201" s="18"/>
      <c r="W201" s="14"/>
    </row>
    <row r="202" customFormat="false" ht="15" hidden="false" customHeight="false" outlineLevel="0" collapsed="false">
      <c r="A202" s="14"/>
      <c r="B202" s="14"/>
      <c r="C202" s="14"/>
      <c r="D202" s="14"/>
      <c r="E202" s="14"/>
      <c r="F202" s="15"/>
      <c r="G202" s="14"/>
      <c r="H202" s="14"/>
      <c r="I202" s="14"/>
      <c r="J202" s="14"/>
      <c r="K202" s="14"/>
      <c r="L202" s="16"/>
      <c r="M202" s="16"/>
      <c r="N202" s="17"/>
      <c r="O202" s="16"/>
      <c r="P202" s="14"/>
      <c r="Q202" s="15"/>
      <c r="R202" s="14"/>
      <c r="S202" s="18"/>
      <c r="T202" s="15"/>
      <c r="U202" s="14"/>
      <c r="V202" s="18"/>
      <c r="W202" s="14"/>
    </row>
    <row r="203" customFormat="false" ht="15" hidden="false" customHeight="false" outlineLevel="0" collapsed="false">
      <c r="A203" s="14"/>
      <c r="B203" s="14"/>
      <c r="C203" s="14"/>
      <c r="D203" s="14"/>
      <c r="E203" s="14"/>
      <c r="F203" s="15"/>
      <c r="G203" s="14"/>
      <c r="H203" s="14"/>
      <c r="I203" s="14"/>
      <c r="J203" s="14"/>
      <c r="K203" s="14"/>
      <c r="L203" s="16"/>
      <c r="M203" s="16"/>
      <c r="N203" s="17"/>
      <c r="O203" s="16"/>
      <c r="P203" s="14"/>
      <c r="Q203" s="15"/>
      <c r="R203" s="14"/>
      <c r="S203" s="18"/>
      <c r="T203" s="15"/>
      <c r="U203" s="14"/>
      <c r="V203" s="18"/>
      <c r="W203" s="14"/>
    </row>
    <row r="204" customFormat="false" ht="15" hidden="false" customHeight="false" outlineLevel="0" collapsed="false">
      <c r="A204" s="14"/>
      <c r="B204" s="14"/>
      <c r="C204" s="14"/>
      <c r="D204" s="14"/>
      <c r="E204" s="14"/>
      <c r="F204" s="15"/>
      <c r="G204" s="14"/>
      <c r="H204" s="14"/>
      <c r="I204" s="14"/>
      <c r="J204" s="14"/>
      <c r="K204" s="14"/>
      <c r="L204" s="16"/>
      <c r="M204" s="16"/>
      <c r="N204" s="17"/>
      <c r="O204" s="16"/>
      <c r="P204" s="14"/>
      <c r="Q204" s="15"/>
      <c r="R204" s="14"/>
      <c r="S204" s="18"/>
      <c r="T204" s="15"/>
      <c r="U204" s="14"/>
      <c r="V204" s="18"/>
      <c r="W204" s="14"/>
    </row>
    <row r="205" customFormat="false" ht="15" hidden="false" customHeight="false" outlineLevel="0" collapsed="false">
      <c r="A205" s="14"/>
      <c r="B205" s="14"/>
      <c r="C205" s="14"/>
      <c r="D205" s="14"/>
      <c r="E205" s="14"/>
      <c r="F205" s="15"/>
      <c r="G205" s="14"/>
      <c r="H205" s="14"/>
      <c r="I205" s="14"/>
      <c r="J205" s="14"/>
      <c r="K205" s="14"/>
      <c r="L205" s="16"/>
      <c r="M205" s="16"/>
      <c r="N205" s="17"/>
      <c r="O205" s="16"/>
      <c r="P205" s="14"/>
      <c r="Q205" s="15"/>
      <c r="R205" s="14"/>
      <c r="S205" s="18"/>
      <c r="T205" s="15"/>
      <c r="U205" s="14"/>
      <c r="V205" s="18"/>
      <c r="W205" s="14"/>
    </row>
    <row r="206" customFormat="false" ht="15" hidden="false" customHeight="false" outlineLevel="0" collapsed="false">
      <c r="A206" s="14"/>
      <c r="B206" s="14"/>
      <c r="C206" s="14"/>
      <c r="D206" s="14"/>
      <c r="E206" s="14"/>
      <c r="F206" s="15"/>
      <c r="G206" s="14"/>
      <c r="H206" s="14"/>
      <c r="I206" s="14"/>
      <c r="J206" s="14"/>
      <c r="K206" s="14"/>
      <c r="L206" s="16"/>
      <c r="M206" s="16"/>
      <c r="N206" s="17"/>
      <c r="O206" s="16"/>
      <c r="P206" s="14"/>
      <c r="Q206" s="15"/>
      <c r="R206" s="14"/>
      <c r="S206" s="18"/>
      <c r="T206" s="15"/>
      <c r="U206" s="14"/>
      <c r="V206" s="18"/>
      <c r="W206" s="14"/>
    </row>
    <row r="207" customFormat="false" ht="15" hidden="false" customHeight="false" outlineLevel="0" collapsed="false">
      <c r="A207" s="14"/>
      <c r="B207" s="14"/>
      <c r="C207" s="14"/>
      <c r="D207" s="14"/>
      <c r="E207" s="14"/>
      <c r="F207" s="15"/>
      <c r="G207" s="14"/>
      <c r="H207" s="14"/>
      <c r="I207" s="14"/>
      <c r="J207" s="14"/>
      <c r="K207" s="14"/>
      <c r="L207" s="16"/>
      <c r="M207" s="16"/>
      <c r="N207" s="17"/>
      <c r="O207" s="16"/>
      <c r="P207" s="14"/>
      <c r="Q207" s="15"/>
      <c r="R207" s="14"/>
      <c r="S207" s="18"/>
      <c r="T207" s="15"/>
      <c r="U207" s="14"/>
      <c r="V207" s="18"/>
      <c r="W207" s="14"/>
    </row>
    <row r="208" customFormat="false" ht="15" hidden="false" customHeight="false" outlineLevel="0" collapsed="false">
      <c r="A208" s="14"/>
      <c r="B208" s="14"/>
      <c r="C208" s="14"/>
      <c r="D208" s="14"/>
      <c r="E208" s="14"/>
      <c r="F208" s="15"/>
      <c r="G208" s="14"/>
      <c r="H208" s="14"/>
      <c r="I208" s="14"/>
      <c r="J208" s="14"/>
      <c r="K208" s="14"/>
      <c r="L208" s="16"/>
      <c r="M208" s="16"/>
      <c r="N208" s="17"/>
      <c r="O208" s="16"/>
      <c r="P208" s="14"/>
      <c r="Q208" s="15"/>
      <c r="R208" s="14"/>
      <c r="S208" s="18"/>
      <c r="T208" s="15"/>
      <c r="U208" s="14"/>
      <c r="V208" s="18"/>
      <c r="W208" s="14"/>
    </row>
    <row r="209" customFormat="false" ht="15" hidden="false" customHeight="false" outlineLevel="0" collapsed="false">
      <c r="A209" s="14"/>
      <c r="B209" s="14"/>
      <c r="C209" s="14"/>
      <c r="D209" s="14"/>
      <c r="E209" s="14"/>
      <c r="F209" s="15"/>
      <c r="G209" s="14"/>
      <c r="H209" s="14"/>
      <c r="I209" s="14"/>
      <c r="J209" s="14"/>
      <c r="K209" s="14"/>
      <c r="L209" s="16"/>
      <c r="M209" s="16"/>
      <c r="N209" s="17"/>
      <c r="O209" s="16"/>
      <c r="P209" s="14"/>
      <c r="Q209" s="15"/>
      <c r="R209" s="14"/>
      <c r="S209" s="18"/>
      <c r="T209" s="15"/>
      <c r="U209" s="14"/>
      <c r="V209" s="18"/>
      <c r="W209" s="14"/>
    </row>
    <row r="210" customFormat="false" ht="15" hidden="false" customHeight="false" outlineLevel="0" collapsed="false">
      <c r="A210" s="14"/>
      <c r="B210" s="14"/>
      <c r="C210" s="14"/>
      <c r="D210" s="14"/>
      <c r="E210" s="14"/>
      <c r="F210" s="15"/>
      <c r="G210" s="14"/>
      <c r="H210" s="14"/>
      <c r="I210" s="14"/>
      <c r="J210" s="14"/>
      <c r="K210" s="14"/>
      <c r="L210" s="16"/>
      <c r="M210" s="16"/>
      <c r="N210" s="17"/>
      <c r="O210" s="16"/>
      <c r="P210" s="14"/>
      <c r="Q210" s="15"/>
      <c r="R210" s="14"/>
      <c r="S210" s="18"/>
      <c r="T210" s="15"/>
      <c r="U210" s="14"/>
      <c r="V210" s="18"/>
      <c r="W210" s="14"/>
    </row>
    <row r="211" customFormat="false" ht="15" hidden="false" customHeight="false" outlineLevel="0" collapsed="false">
      <c r="A211" s="14"/>
      <c r="B211" s="14"/>
      <c r="C211" s="14"/>
      <c r="D211" s="14"/>
      <c r="E211" s="14"/>
      <c r="F211" s="15"/>
      <c r="G211" s="14"/>
      <c r="H211" s="14"/>
      <c r="I211" s="14"/>
      <c r="J211" s="14"/>
      <c r="K211" s="14"/>
      <c r="L211" s="16"/>
      <c r="M211" s="16"/>
      <c r="N211" s="17"/>
      <c r="O211" s="16"/>
      <c r="P211" s="14"/>
      <c r="Q211" s="15"/>
      <c r="R211" s="14"/>
      <c r="S211" s="18"/>
      <c r="T211" s="15"/>
      <c r="U211" s="14"/>
      <c r="V211" s="18"/>
      <c r="W211" s="14"/>
    </row>
    <row r="212" customFormat="false" ht="15" hidden="false" customHeight="false" outlineLevel="0" collapsed="false">
      <c r="A212" s="14"/>
      <c r="B212" s="14"/>
      <c r="C212" s="14"/>
      <c r="D212" s="14"/>
      <c r="E212" s="14"/>
      <c r="F212" s="15"/>
      <c r="G212" s="14"/>
      <c r="H212" s="14"/>
      <c r="I212" s="14"/>
      <c r="J212" s="14"/>
      <c r="K212" s="14"/>
      <c r="L212" s="16"/>
      <c r="M212" s="16"/>
      <c r="N212" s="17"/>
      <c r="O212" s="16"/>
      <c r="P212" s="14"/>
      <c r="Q212" s="15"/>
      <c r="R212" s="14"/>
      <c r="S212" s="18"/>
      <c r="T212" s="15"/>
      <c r="U212" s="14"/>
      <c r="V212" s="18"/>
      <c r="W212" s="14"/>
    </row>
    <row r="213" customFormat="false" ht="15" hidden="false" customHeight="false" outlineLevel="0" collapsed="false">
      <c r="A213" s="14"/>
      <c r="B213" s="14"/>
      <c r="C213" s="14"/>
      <c r="D213" s="14"/>
      <c r="E213" s="14"/>
      <c r="F213" s="15"/>
      <c r="G213" s="14"/>
      <c r="H213" s="14"/>
      <c r="I213" s="14"/>
      <c r="J213" s="14"/>
      <c r="K213" s="14"/>
      <c r="L213" s="16"/>
      <c r="M213" s="16"/>
      <c r="N213" s="17"/>
      <c r="O213" s="16"/>
      <c r="P213" s="14"/>
      <c r="Q213" s="15"/>
      <c r="R213" s="14"/>
      <c r="S213" s="18"/>
      <c r="T213" s="15"/>
      <c r="U213" s="14"/>
      <c r="V213" s="18"/>
      <c r="W213" s="14"/>
    </row>
    <row r="214" customFormat="false" ht="15" hidden="false" customHeight="false" outlineLevel="0" collapsed="false">
      <c r="A214" s="14"/>
      <c r="B214" s="14"/>
      <c r="C214" s="14"/>
      <c r="D214" s="14"/>
      <c r="E214" s="14"/>
      <c r="F214" s="15"/>
      <c r="G214" s="14"/>
      <c r="H214" s="14"/>
      <c r="I214" s="14"/>
      <c r="J214" s="14"/>
      <c r="K214" s="14"/>
      <c r="L214" s="16"/>
      <c r="M214" s="16"/>
      <c r="N214" s="17"/>
      <c r="O214" s="16"/>
      <c r="P214" s="14"/>
      <c r="Q214" s="15"/>
      <c r="R214" s="14"/>
      <c r="S214" s="18"/>
      <c r="T214" s="15"/>
      <c r="U214" s="14"/>
      <c r="V214" s="18"/>
      <c r="W214" s="14"/>
    </row>
    <row r="215" customFormat="false" ht="15" hidden="false" customHeight="false" outlineLevel="0" collapsed="false">
      <c r="A215" s="14"/>
      <c r="B215" s="14"/>
      <c r="C215" s="14"/>
      <c r="D215" s="14"/>
      <c r="E215" s="14"/>
      <c r="F215" s="15"/>
      <c r="G215" s="14"/>
      <c r="H215" s="14"/>
      <c r="I215" s="14"/>
      <c r="J215" s="14"/>
      <c r="K215" s="14"/>
      <c r="L215" s="16"/>
      <c r="M215" s="16"/>
      <c r="N215" s="17"/>
      <c r="O215" s="16"/>
      <c r="P215" s="14"/>
      <c r="Q215" s="15"/>
      <c r="R215" s="14"/>
      <c r="S215" s="18"/>
      <c r="T215" s="15"/>
      <c r="U215" s="14"/>
      <c r="V215" s="18"/>
      <c r="W215" s="14"/>
    </row>
    <row r="216" customFormat="false" ht="15" hidden="false" customHeight="false" outlineLevel="0" collapsed="false">
      <c r="A216" s="14"/>
      <c r="B216" s="14"/>
      <c r="C216" s="14"/>
      <c r="D216" s="14"/>
      <c r="E216" s="14"/>
      <c r="F216" s="15"/>
      <c r="G216" s="14"/>
      <c r="H216" s="14"/>
      <c r="I216" s="14"/>
      <c r="J216" s="14"/>
      <c r="K216" s="14"/>
      <c r="L216" s="16"/>
      <c r="M216" s="16"/>
      <c r="N216" s="17"/>
      <c r="O216" s="16"/>
      <c r="P216" s="14"/>
      <c r="Q216" s="15"/>
      <c r="R216" s="14"/>
      <c r="S216" s="18"/>
      <c r="T216" s="15"/>
      <c r="U216" s="14"/>
      <c r="V216" s="18"/>
      <c r="W216" s="14"/>
    </row>
    <row r="217" customFormat="false" ht="15" hidden="false" customHeight="false" outlineLevel="0" collapsed="false">
      <c r="A217" s="14"/>
      <c r="B217" s="14"/>
      <c r="C217" s="14"/>
      <c r="D217" s="14"/>
      <c r="E217" s="14"/>
      <c r="F217" s="15"/>
      <c r="G217" s="14"/>
      <c r="H217" s="14"/>
      <c r="I217" s="14"/>
      <c r="J217" s="14"/>
      <c r="K217" s="14"/>
      <c r="L217" s="16"/>
      <c r="M217" s="16"/>
      <c r="N217" s="17"/>
      <c r="O217" s="16"/>
      <c r="P217" s="14"/>
      <c r="Q217" s="15"/>
      <c r="R217" s="14"/>
      <c r="S217" s="18"/>
      <c r="T217" s="15"/>
      <c r="U217" s="14"/>
      <c r="V217" s="18"/>
      <c r="W217" s="14"/>
    </row>
    <row r="218" customFormat="false" ht="15" hidden="false" customHeight="false" outlineLevel="0" collapsed="false">
      <c r="A218" s="14"/>
      <c r="B218" s="14"/>
      <c r="C218" s="14"/>
      <c r="D218" s="14"/>
      <c r="E218" s="14"/>
      <c r="F218" s="15"/>
      <c r="G218" s="14"/>
      <c r="H218" s="14"/>
      <c r="I218" s="14"/>
      <c r="J218" s="14"/>
      <c r="K218" s="14"/>
      <c r="L218" s="16"/>
      <c r="M218" s="16"/>
      <c r="N218" s="17"/>
      <c r="O218" s="16"/>
      <c r="P218" s="14"/>
      <c r="Q218" s="15"/>
      <c r="R218" s="14"/>
      <c r="S218" s="18"/>
      <c r="T218" s="15"/>
      <c r="U218" s="14"/>
      <c r="V218" s="18"/>
      <c r="W218" s="14"/>
    </row>
    <row r="219" customFormat="false" ht="15" hidden="false" customHeight="false" outlineLevel="0" collapsed="false">
      <c r="A219" s="14"/>
      <c r="B219" s="14"/>
      <c r="C219" s="14"/>
      <c r="D219" s="14"/>
      <c r="E219" s="14"/>
      <c r="F219" s="15"/>
      <c r="G219" s="14"/>
      <c r="H219" s="14"/>
      <c r="I219" s="14"/>
      <c r="J219" s="14"/>
      <c r="K219" s="14"/>
      <c r="L219" s="16"/>
      <c r="M219" s="16"/>
      <c r="N219" s="17"/>
      <c r="O219" s="16"/>
      <c r="P219" s="14"/>
      <c r="Q219" s="15"/>
      <c r="R219" s="14"/>
      <c r="S219" s="18"/>
      <c r="T219" s="15"/>
      <c r="U219" s="14"/>
      <c r="V219" s="18"/>
      <c r="W219" s="14"/>
    </row>
    <row r="220" customFormat="false" ht="15" hidden="false" customHeight="false" outlineLevel="0" collapsed="false">
      <c r="A220" s="14"/>
      <c r="B220" s="14"/>
      <c r="C220" s="14"/>
      <c r="D220" s="14"/>
      <c r="E220" s="14"/>
      <c r="F220" s="15"/>
      <c r="G220" s="14"/>
      <c r="H220" s="14"/>
      <c r="I220" s="14"/>
      <c r="J220" s="14"/>
      <c r="K220" s="14"/>
      <c r="L220" s="16"/>
      <c r="M220" s="16"/>
      <c r="N220" s="17"/>
      <c r="O220" s="16"/>
      <c r="P220" s="14"/>
      <c r="Q220" s="15"/>
      <c r="R220" s="14"/>
      <c r="S220" s="18"/>
      <c r="T220" s="15"/>
      <c r="U220" s="14"/>
      <c r="V220" s="18"/>
      <c r="W220" s="14"/>
    </row>
    <row r="221" customFormat="false" ht="15" hidden="false" customHeight="false" outlineLevel="0" collapsed="false">
      <c r="A221" s="14"/>
      <c r="B221" s="14"/>
      <c r="C221" s="14"/>
      <c r="D221" s="14"/>
      <c r="E221" s="14"/>
      <c r="F221" s="15"/>
      <c r="G221" s="14"/>
      <c r="H221" s="14"/>
      <c r="I221" s="14"/>
      <c r="J221" s="14"/>
      <c r="K221" s="14"/>
      <c r="L221" s="16"/>
      <c r="M221" s="16"/>
      <c r="N221" s="17"/>
      <c r="O221" s="16"/>
      <c r="P221" s="14"/>
      <c r="Q221" s="15"/>
      <c r="R221" s="14"/>
      <c r="S221" s="18"/>
      <c r="T221" s="15"/>
      <c r="U221" s="14"/>
      <c r="V221" s="18"/>
      <c r="W221" s="14"/>
    </row>
    <row r="222" customFormat="false" ht="15" hidden="false" customHeight="false" outlineLevel="0" collapsed="false">
      <c r="A222" s="14"/>
      <c r="B222" s="14"/>
      <c r="C222" s="14"/>
      <c r="D222" s="14"/>
      <c r="E222" s="14"/>
      <c r="F222" s="15"/>
      <c r="G222" s="14"/>
      <c r="H222" s="14"/>
      <c r="I222" s="14"/>
      <c r="J222" s="14"/>
      <c r="K222" s="14"/>
      <c r="L222" s="16"/>
      <c r="M222" s="16"/>
      <c r="N222" s="17"/>
      <c r="O222" s="16"/>
      <c r="P222" s="14"/>
      <c r="Q222" s="15"/>
      <c r="R222" s="14"/>
      <c r="S222" s="18"/>
      <c r="T222" s="15"/>
      <c r="U222" s="14"/>
      <c r="V222" s="18"/>
      <c r="W222" s="14"/>
    </row>
    <row r="223" customFormat="false" ht="15" hidden="false" customHeight="false" outlineLevel="0" collapsed="false">
      <c r="A223" s="14"/>
      <c r="B223" s="14"/>
      <c r="C223" s="14"/>
      <c r="D223" s="14"/>
      <c r="E223" s="14"/>
      <c r="F223" s="15"/>
      <c r="G223" s="14"/>
      <c r="H223" s="14"/>
      <c r="I223" s="14"/>
      <c r="J223" s="14"/>
      <c r="K223" s="14"/>
      <c r="L223" s="16"/>
      <c r="M223" s="16"/>
      <c r="N223" s="17"/>
      <c r="O223" s="16"/>
      <c r="P223" s="14"/>
      <c r="Q223" s="15"/>
      <c r="R223" s="14"/>
      <c r="S223" s="18"/>
      <c r="T223" s="15"/>
      <c r="U223" s="14"/>
      <c r="V223" s="18"/>
      <c r="W223" s="14"/>
    </row>
    <row r="224" customFormat="false" ht="15" hidden="false" customHeight="false" outlineLevel="0" collapsed="false">
      <c r="A224" s="14"/>
      <c r="B224" s="14"/>
      <c r="C224" s="14"/>
      <c r="D224" s="14"/>
      <c r="E224" s="14"/>
      <c r="F224" s="15"/>
      <c r="G224" s="14"/>
      <c r="H224" s="14"/>
      <c r="I224" s="14"/>
      <c r="J224" s="14"/>
      <c r="K224" s="14"/>
      <c r="L224" s="16"/>
      <c r="M224" s="16"/>
      <c r="N224" s="17"/>
      <c r="O224" s="16"/>
      <c r="P224" s="14"/>
      <c r="Q224" s="15"/>
      <c r="R224" s="14"/>
      <c r="S224" s="18"/>
      <c r="T224" s="15"/>
      <c r="U224" s="14"/>
      <c r="V224" s="18"/>
      <c r="W224" s="14"/>
    </row>
    <row r="225" customFormat="false" ht="15" hidden="false" customHeight="false" outlineLevel="0" collapsed="false">
      <c r="A225" s="14"/>
      <c r="B225" s="14"/>
      <c r="C225" s="14"/>
      <c r="D225" s="14"/>
      <c r="E225" s="14"/>
      <c r="F225" s="15"/>
      <c r="G225" s="14"/>
      <c r="H225" s="14"/>
      <c r="I225" s="14"/>
      <c r="J225" s="14"/>
      <c r="K225" s="14"/>
      <c r="L225" s="16"/>
      <c r="M225" s="16"/>
      <c r="N225" s="17"/>
      <c r="O225" s="16"/>
      <c r="P225" s="14"/>
      <c r="Q225" s="15"/>
      <c r="R225" s="14"/>
      <c r="S225" s="18"/>
      <c r="T225" s="15"/>
      <c r="U225" s="14"/>
      <c r="V225" s="18"/>
      <c r="W225" s="14"/>
    </row>
    <row r="226" customFormat="false" ht="15" hidden="false" customHeight="false" outlineLevel="0" collapsed="false">
      <c r="A226" s="14"/>
      <c r="B226" s="14"/>
      <c r="C226" s="14"/>
      <c r="D226" s="14"/>
      <c r="E226" s="14"/>
      <c r="F226" s="15"/>
      <c r="G226" s="14"/>
      <c r="H226" s="14"/>
      <c r="I226" s="14"/>
      <c r="J226" s="14"/>
      <c r="K226" s="14"/>
      <c r="L226" s="16"/>
      <c r="M226" s="16"/>
      <c r="N226" s="17"/>
      <c r="O226" s="16"/>
      <c r="P226" s="14"/>
      <c r="Q226" s="15"/>
      <c r="R226" s="14"/>
      <c r="S226" s="18"/>
      <c r="T226" s="15"/>
      <c r="U226" s="14"/>
      <c r="V226" s="18"/>
      <c r="W226" s="14"/>
    </row>
    <row r="227" customFormat="false" ht="15" hidden="false" customHeight="false" outlineLevel="0" collapsed="false">
      <c r="A227" s="14"/>
      <c r="B227" s="14"/>
      <c r="C227" s="14"/>
      <c r="D227" s="14"/>
      <c r="E227" s="14"/>
      <c r="F227" s="15"/>
      <c r="G227" s="14"/>
      <c r="H227" s="14"/>
      <c r="I227" s="14"/>
      <c r="J227" s="14"/>
      <c r="K227" s="14"/>
      <c r="L227" s="16"/>
      <c r="M227" s="16"/>
      <c r="N227" s="17"/>
      <c r="O227" s="16"/>
      <c r="P227" s="14"/>
      <c r="Q227" s="15"/>
      <c r="R227" s="14"/>
      <c r="S227" s="18"/>
      <c r="T227" s="15"/>
      <c r="U227" s="14"/>
      <c r="V227" s="18"/>
      <c r="W227" s="14"/>
    </row>
    <row r="228" customFormat="false" ht="15" hidden="false" customHeight="false" outlineLevel="0" collapsed="false">
      <c r="A228" s="14"/>
      <c r="B228" s="14"/>
      <c r="C228" s="14"/>
      <c r="D228" s="14"/>
      <c r="E228" s="14"/>
      <c r="F228" s="15"/>
      <c r="G228" s="14"/>
      <c r="H228" s="14"/>
      <c r="I228" s="14"/>
      <c r="J228" s="14"/>
      <c r="K228" s="14"/>
      <c r="L228" s="16"/>
      <c r="M228" s="16"/>
      <c r="N228" s="17"/>
      <c r="O228" s="16"/>
      <c r="P228" s="14"/>
      <c r="Q228" s="15"/>
      <c r="R228" s="14"/>
      <c r="S228" s="18"/>
      <c r="T228" s="15"/>
      <c r="U228" s="14"/>
      <c r="V228" s="18"/>
      <c r="W228" s="14"/>
    </row>
    <row r="229" customFormat="false" ht="15" hidden="false" customHeight="false" outlineLevel="0" collapsed="false">
      <c r="A229" s="14"/>
      <c r="B229" s="14"/>
      <c r="C229" s="14"/>
      <c r="D229" s="14"/>
      <c r="E229" s="14"/>
      <c r="F229" s="15"/>
      <c r="G229" s="14"/>
      <c r="H229" s="14"/>
      <c r="I229" s="14"/>
      <c r="J229" s="14"/>
      <c r="K229" s="14"/>
      <c r="L229" s="16"/>
      <c r="M229" s="16"/>
      <c r="N229" s="17"/>
      <c r="O229" s="16"/>
      <c r="P229" s="14"/>
      <c r="Q229" s="15"/>
      <c r="R229" s="14"/>
      <c r="S229" s="18"/>
      <c r="T229" s="15"/>
      <c r="U229" s="14"/>
      <c r="V229" s="18"/>
      <c r="W229" s="14"/>
    </row>
    <row r="230" customFormat="false" ht="15" hidden="false" customHeight="false" outlineLevel="0" collapsed="false">
      <c r="A230" s="14"/>
      <c r="B230" s="14"/>
      <c r="C230" s="14"/>
      <c r="D230" s="14"/>
      <c r="E230" s="14"/>
      <c r="F230" s="15"/>
      <c r="G230" s="14"/>
      <c r="H230" s="14"/>
      <c r="I230" s="14"/>
      <c r="J230" s="14"/>
      <c r="K230" s="14"/>
      <c r="L230" s="16"/>
      <c r="M230" s="16"/>
      <c r="N230" s="17"/>
      <c r="O230" s="16"/>
      <c r="P230" s="14"/>
      <c r="Q230" s="15"/>
      <c r="R230" s="14"/>
      <c r="S230" s="18"/>
      <c r="T230" s="15"/>
      <c r="U230" s="14"/>
      <c r="V230" s="18"/>
      <c r="W230" s="14"/>
    </row>
    <row r="231" customFormat="false" ht="15" hidden="false" customHeight="false" outlineLevel="0" collapsed="false">
      <c r="A231" s="14"/>
      <c r="B231" s="14"/>
      <c r="C231" s="14"/>
      <c r="D231" s="14"/>
      <c r="E231" s="14"/>
      <c r="F231" s="15"/>
      <c r="G231" s="14"/>
      <c r="H231" s="14"/>
      <c r="I231" s="14"/>
      <c r="J231" s="14"/>
      <c r="K231" s="14"/>
      <c r="L231" s="16"/>
      <c r="M231" s="16"/>
      <c r="N231" s="17"/>
      <c r="O231" s="16"/>
      <c r="P231" s="14"/>
      <c r="Q231" s="15"/>
      <c r="R231" s="14"/>
      <c r="S231" s="18"/>
      <c r="T231" s="15"/>
      <c r="U231" s="14"/>
      <c r="V231" s="18"/>
      <c r="W231" s="14"/>
    </row>
    <row r="232" customFormat="false" ht="15" hidden="false" customHeight="false" outlineLevel="0" collapsed="false">
      <c r="A232" s="14"/>
      <c r="B232" s="14"/>
      <c r="C232" s="14"/>
      <c r="D232" s="14"/>
      <c r="E232" s="14"/>
      <c r="F232" s="15"/>
      <c r="G232" s="14"/>
      <c r="H232" s="14"/>
      <c r="I232" s="14"/>
      <c r="J232" s="14"/>
      <c r="K232" s="14"/>
      <c r="L232" s="16"/>
      <c r="M232" s="16"/>
      <c r="N232" s="17"/>
      <c r="O232" s="16"/>
      <c r="P232" s="14"/>
      <c r="Q232" s="15"/>
      <c r="R232" s="14"/>
      <c r="S232" s="18"/>
      <c r="T232" s="15"/>
      <c r="U232" s="14"/>
      <c r="V232" s="18"/>
      <c r="W232" s="14"/>
    </row>
    <row r="233" customFormat="false" ht="15" hidden="false" customHeight="false" outlineLevel="0" collapsed="false">
      <c r="A233" s="14"/>
      <c r="B233" s="14"/>
      <c r="C233" s="14"/>
      <c r="D233" s="14"/>
      <c r="E233" s="14"/>
      <c r="F233" s="15"/>
      <c r="G233" s="14"/>
      <c r="H233" s="14"/>
      <c r="I233" s="14"/>
      <c r="J233" s="14"/>
      <c r="K233" s="14"/>
      <c r="L233" s="16"/>
      <c r="M233" s="16"/>
      <c r="N233" s="17"/>
      <c r="O233" s="16"/>
      <c r="P233" s="14"/>
      <c r="Q233" s="15"/>
      <c r="R233" s="14"/>
      <c r="S233" s="18"/>
      <c r="T233" s="15"/>
      <c r="U233" s="14"/>
      <c r="V233" s="18"/>
      <c r="W233" s="14"/>
    </row>
    <row r="234" customFormat="false" ht="15" hidden="false" customHeight="false" outlineLevel="0" collapsed="false">
      <c r="A234" s="14"/>
      <c r="B234" s="14"/>
      <c r="C234" s="14"/>
      <c r="D234" s="14"/>
      <c r="E234" s="14"/>
      <c r="F234" s="15"/>
      <c r="G234" s="14"/>
      <c r="H234" s="14"/>
      <c r="I234" s="14"/>
      <c r="J234" s="14"/>
      <c r="K234" s="14"/>
      <c r="L234" s="16"/>
      <c r="M234" s="16"/>
      <c r="N234" s="17"/>
      <c r="O234" s="16"/>
      <c r="P234" s="14"/>
      <c r="Q234" s="15"/>
      <c r="R234" s="14"/>
      <c r="S234" s="18"/>
      <c r="T234" s="15"/>
      <c r="U234" s="14"/>
      <c r="V234" s="18"/>
      <c r="W234" s="14"/>
    </row>
    <row r="235" customFormat="false" ht="15" hidden="false" customHeight="false" outlineLevel="0" collapsed="false">
      <c r="A235" s="14"/>
      <c r="B235" s="14"/>
      <c r="C235" s="14"/>
      <c r="D235" s="14"/>
      <c r="E235" s="14"/>
      <c r="F235" s="15"/>
      <c r="G235" s="14"/>
      <c r="H235" s="14"/>
      <c r="I235" s="14"/>
      <c r="J235" s="14"/>
      <c r="K235" s="14"/>
      <c r="L235" s="16"/>
      <c r="M235" s="16"/>
      <c r="N235" s="17"/>
      <c r="O235" s="16"/>
      <c r="P235" s="14"/>
      <c r="Q235" s="15"/>
      <c r="R235" s="14"/>
      <c r="S235" s="18"/>
      <c r="T235" s="15"/>
      <c r="U235" s="14"/>
      <c r="V235" s="18"/>
      <c r="W235" s="14"/>
    </row>
    <row r="236" customFormat="false" ht="15" hidden="false" customHeight="false" outlineLevel="0" collapsed="false">
      <c r="A236" s="14"/>
      <c r="B236" s="14"/>
      <c r="C236" s="14"/>
      <c r="D236" s="14"/>
      <c r="E236" s="14"/>
      <c r="F236" s="15"/>
      <c r="G236" s="14"/>
      <c r="H236" s="14"/>
      <c r="I236" s="14"/>
      <c r="J236" s="14"/>
      <c r="K236" s="14"/>
      <c r="L236" s="16"/>
      <c r="M236" s="16"/>
      <c r="N236" s="17"/>
      <c r="O236" s="16"/>
      <c r="P236" s="14"/>
      <c r="Q236" s="15"/>
      <c r="R236" s="14"/>
      <c r="S236" s="18"/>
      <c r="T236" s="15"/>
      <c r="U236" s="14"/>
      <c r="V236" s="18"/>
      <c r="W236" s="14"/>
    </row>
    <row r="237" customFormat="false" ht="15" hidden="false" customHeight="false" outlineLevel="0" collapsed="false">
      <c r="A237" s="14"/>
      <c r="B237" s="14"/>
      <c r="C237" s="14"/>
      <c r="D237" s="14"/>
      <c r="E237" s="14"/>
      <c r="F237" s="15"/>
      <c r="G237" s="14"/>
      <c r="H237" s="14"/>
      <c r="I237" s="14"/>
      <c r="J237" s="14"/>
      <c r="K237" s="14"/>
      <c r="L237" s="16"/>
      <c r="M237" s="16"/>
      <c r="N237" s="17"/>
      <c r="O237" s="16"/>
      <c r="P237" s="14"/>
      <c r="Q237" s="15"/>
      <c r="R237" s="14"/>
      <c r="S237" s="18"/>
      <c r="T237" s="15"/>
      <c r="U237" s="14"/>
      <c r="V237" s="18"/>
      <c r="W237" s="14"/>
    </row>
    <row r="238" customFormat="false" ht="15" hidden="false" customHeight="false" outlineLevel="0" collapsed="false">
      <c r="A238" s="14"/>
      <c r="B238" s="14"/>
      <c r="C238" s="14"/>
      <c r="D238" s="14"/>
      <c r="E238" s="14"/>
      <c r="F238" s="15"/>
      <c r="G238" s="14"/>
      <c r="H238" s="14"/>
      <c r="I238" s="14"/>
      <c r="J238" s="14"/>
      <c r="K238" s="14"/>
      <c r="L238" s="16"/>
      <c r="M238" s="16"/>
      <c r="N238" s="17"/>
      <c r="O238" s="16"/>
      <c r="P238" s="14"/>
      <c r="Q238" s="15"/>
      <c r="R238" s="14"/>
      <c r="S238" s="18"/>
      <c r="T238" s="15"/>
      <c r="U238" s="14"/>
      <c r="V238" s="18"/>
      <c r="W238" s="14"/>
    </row>
    <row r="239" customFormat="false" ht="15" hidden="false" customHeight="false" outlineLevel="0" collapsed="false">
      <c r="A239" s="14"/>
      <c r="B239" s="14"/>
      <c r="C239" s="14"/>
      <c r="D239" s="14"/>
      <c r="E239" s="14"/>
      <c r="F239" s="15"/>
      <c r="G239" s="14"/>
      <c r="H239" s="14"/>
      <c r="I239" s="14"/>
      <c r="J239" s="14"/>
      <c r="K239" s="14"/>
      <c r="L239" s="16"/>
      <c r="M239" s="16"/>
      <c r="N239" s="17"/>
      <c r="O239" s="16"/>
      <c r="P239" s="14"/>
      <c r="Q239" s="15"/>
      <c r="R239" s="14"/>
      <c r="S239" s="18"/>
      <c r="T239" s="15"/>
      <c r="U239" s="14"/>
      <c r="V239" s="18"/>
      <c r="W239" s="14"/>
    </row>
    <row r="240" customFormat="false" ht="15" hidden="false" customHeight="false" outlineLevel="0" collapsed="false">
      <c r="A240" s="14"/>
      <c r="B240" s="14"/>
      <c r="C240" s="14"/>
      <c r="D240" s="14"/>
      <c r="E240" s="14"/>
      <c r="F240" s="15"/>
      <c r="G240" s="14"/>
      <c r="H240" s="14"/>
      <c r="I240" s="14"/>
      <c r="J240" s="14"/>
      <c r="K240" s="14"/>
      <c r="L240" s="16"/>
      <c r="M240" s="16"/>
      <c r="N240" s="17"/>
      <c r="O240" s="16"/>
      <c r="P240" s="14"/>
      <c r="Q240" s="15"/>
      <c r="R240" s="14"/>
      <c r="S240" s="18"/>
      <c r="T240" s="15"/>
      <c r="U240" s="14"/>
      <c r="V240" s="18"/>
      <c r="W240" s="14"/>
    </row>
    <row r="241" customFormat="false" ht="15" hidden="false" customHeight="false" outlineLevel="0" collapsed="false">
      <c r="A241" s="14"/>
      <c r="B241" s="14"/>
      <c r="C241" s="14"/>
      <c r="D241" s="14"/>
      <c r="E241" s="14"/>
      <c r="F241" s="15"/>
      <c r="G241" s="14"/>
      <c r="H241" s="14"/>
      <c r="I241" s="14"/>
      <c r="J241" s="14"/>
      <c r="K241" s="14"/>
      <c r="L241" s="16"/>
      <c r="M241" s="16"/>
      <c r="N241" s="17"/>
      <c r="O241" s="16"/>
      <c r="P241" s="14"/>
      <c r="Q241" s="15"/>
      <c r="R241" s="14"/>
      <c r="S241" s="18"/>
      <c r="T241" s="15"/>
      <c r="U241" s="14"/>
      <c r="V241" s="18"/>
      <c r="W241" s="14"/>
    </row>
    <row r="242" customFormat="false" ht="15" hidden="false" customHeight="false" outlineLevel="0" collapsed="false">
      <c r="A242" s="14"/>
      <c r="B242" s="14"/>
      <c r="C242" s="14"/>
      <c r="D242" s="14"/>
      <c r="E242" s="14"/>
      <c r="F242" s="15"/>
      <c r="G242" s="14"/>
      <c r="H242" s="14"/>
      <c r="I242" s="14"/>
      <c r="J242" s="14"/>
      <c r="K242" s="14"/>
      <c r="L242" s="16"/>
      <c r="M242" s="16"/>
      <c r="N242" s="17"/>
      <c r="O242" s="16"/>
      <c r="P242" s="14"/>
      <c r="Q242" s="15"/>
      <c r="R242" s="14"/>
      <c r="S242" s="18"/>
      <c r="T242" s="15"/>
      <c r="U242" s="14"/>
      <c r="V242" s="18"/>
      <c r="W242" s="14"/>
    </row>
    <row r="243" customFormat="false" ht="15" hidden="false" customHeight="false" outlineLevel="0" collapsed="false">
      <c r="A243" s="14"/>
      <c r="B243" s="14"/>
      <c r="C243" s="14"/>
      <c r="D243" s="14"/>
      <c r="E243" s="14"/>
      <c r="F243" s="15"/>
      <c r="G243" s="14"/>
      <c r="H243" s="14"/>
      <c r="I243" s="14"/>
      <c r="J243" s="14"/>
      <c r="K243" s="14"/>
      <c r="L243" s="16"/>
      <c r="M243" s="16"/>
      <c r="N243" s="17"/>
      <c r="O243" s="16"/>
      <c r="P243" s="14"/>
      <c r="Q243" s="15"/>
      <c r="R243" s="14"/>
      <c r="S243" s="18"/>
      <c r="T243" s="15"/>
      <c r="U243" s="14"/>
      <c r="V243" s="18"/>
      <c r="W243" s="14"/>
    </row>
    <row r="244" customFormat="false" ht="15" hidden="false" customHeight="false" outlineLevel="0" collapsed="false">
      <c r="A244" s="14"/>
      <c r="B244" s="14"/>
      <c r="C244" s="14"/>
      <c r="D244" s="14"/>
      <c r="E244" s="14"/>
      <c r="F244" s="15"/>
      <c r="G244" s="14"/>
      <c r="H244" s="14"/>
      <c r="I244" s="14"/>
      <c r="J244" s="14"/>
      <c r="K244" s="14"/>
      <c r="L244" s="16"/>
      <c r="M244" s="16"/>
      <c r="N244" s="17"/>
      <c r="O244" s="16"/>
      <c r="P244" s="14"/>
      <c r="Q244" s="15"/>
      <c r="R244" s="14"/>
      <c r="S244" s="18"/>
      <c r="T244" s="15"/>
      <c r="U244" s="14"/>
      <c r="V244" s="18"/>
      <c r="W244" s="14"/>
    </row>
    <row r="245" customFormat="false" ht="15" hidden="false" customHeight="false" outlineLevel="0" collapsed="false">
      <c r="A245" s="14"/>
      <c r="B245" s="14"/>
      <c r="C245" s="14"/>
      <c r="D245" s="14"/>
      <c r="E245" s="14"/>
      <c r="F245" s="15"/>
      <c r="G245" s="14"/>
      <c r="H245" s="14"/>
      <c r="I245" s="14"/>
      <c r="J245" s="14"/>
      <c r="K245" s="14"/>
      <c r="L245" s="16"/>
      <c r="M245" s="16"/>
      <c r="N245" s="17"/>
      <c r="O245" s="16"/>
      <c r="P245" s="14"/>
      <c r="Q245" s="15"/>
      <c r="R245" s="14"/>
      <c r="S245" s="18"/>
      <c r="T245" s="15"/>
      <c r="U245" s="14"/>
      <c r="V245" s="18"/>
      <c r="W245" s="14"/>
    </row>
    <row r="246" customFormat="false" ht="15" hidden="false" customHeight="false" outlineLevel="0" collapsed="false">
      <c r="A246" s="14"/>
      <c r="B246" s="14"/>
      <c r="C246" s="14"/>
      <c r="D246" s="14"/>
      <c r="E246" s="14"/>
      <c r="F246" s="15"/>
      <c r="G246" s="14"/>
      <c r="H246" s="14"/>
      <c r="I246" s="14"/>
      <c r="J246" s="14"/>
      <c r="K246" s="14"/>
      <c r="L246" s="16"/>
      <c r="M246" s="16"/>
      <c r="N246" s="17"/>
      <c r="O246" s="16"/>
      <c r="P246" s="14"/>
      <c r="Q246" s="15"/>
      <c r="R246" s="14"/>
      <c r="S246" s="18"/>
      <c r="T246" s="15"/>
      <c r="U246" s="14"/>
      <c r="V246" s="18"/>
      <c r="W246" s="14"/>
    </row>
    <row r="247" customFormat="false" ht="15" hidden="false" customHeight="false" outlineLevel="0" collapsed="false">
      <c r="A247" s="14"/>
      <c r="B247" s="14"/>
      <c r="C247" s="14"/>
      <c r="D247" s="14"/>
      <c r="E247" s="14"/>
      <c r="F247" s="15"/>
      <c r="G247" s="14"/>
      <c r="H247" s="14"/>
      <c r="I247" s="14"/>
      <c r="J247" s="14"/>
      <c r="K247" s="14"/>
      <c r="L247" s="16"/>
      <c r="M247" s="16"/>
      <c r="N247" s="17"/>
      <c r="O247" s="16"/>
      <c r="P247" s="14"/>
      <c r="Q247" s="15"/>
      <c r="R247" s="14"/>
      <c r="S247" s="18"/>
      <c r="T247" s="15"/>
      <c r="U247" s="14"/>
      <c r="V247" s="18"/>
      <c r="W247" s="14"/>
    </row>
    <row r="248" customFormat="false" ht="15" hidden="false" customHeight="false" outlineLevel="0" collapsed="false">
      <c r="A248" s="14"/>
      <c r="B248" s="14"/>
      <c r="C248" s="14"/>
      <c r="D248" s="14"/>
      <c r="E248" s="14"/>
      <c r="F248" s="15"/>
      <c r="G248" s="14"/>
      <c r="H248" s="14"/>
      <c r="I248" s="14"/>
      <c r="J248" s="14"/>
      <c r="K248" s="14"/>
      <c r="L248" s="16"/>
      <c r="M248" s="16"/>
      <c r="N248" s="17"/>
      <c r="O248" s="16"/>
      <c r="P248" s="14"/>
      <c r="Q248" s="15"/>
      <c r="R248" s="14"/>
      <c r="S248" s="18"/>
      <c r="T248" s="15"/>
      <c r="U248" s="14"/>
      <c r="V248" s="18"/>
      <c r="W248" s="14"/>
    </row>
    <row r="249" customFormat="false" ht="15" hidden="false" customHeight="false" outlineLevel="0" collapsed="false">
      <c r="A249" s="14"/>
      <c r="B249" s="14"/>
      <c r="C249" s="14"/>
      <c r="D249" s="14"/>
      <c r="E249" s="14"/>
      <c r="F249" s="15"/>
      <c r="G249" s="14"/>
      <c r="H249" s="14"/>
      <c r="I249" s="14"/>
      <c r="J249" s="14"/>
      <c r="K249" s="14"/>
      <c r="L249" s="16"/>
      <c r="M249" s="16"/>
      <c r="N249" s="17"/>
      <c r="O249" s="16"/>
      <c r="P249" s="14"/>
      <c r="Q249" s="15"/>
      <c r="R249" s="14"/>
      <c r="S249" s="18"/>
      <c r="T249" s="15"/>
      <c r="U249" s="14"/>
      <c r="V249" s="18"/>
      <c r="W249" s="14"/>
    </row>
    <row r="250" customFormat="false" ht="15" hidden="false" customHeight="false" outlineLevel="0" collapsed="false">
      <c r="A250" s="14"/>
      <c r="B250" s="14"/>
      <c r="C250" s="14"/>
      <c r="D250" s="14"/>
      <c r="E250" s="14"/>
      <c r="F250" s="15"/>
      <c r="G250" s="14"/>
      <c r="H250" s="14"/>
      <c r="I250" s="14"/>
      <c r="J250" s="14"/>
      <c r="K250" s="14"/>
      <c r="L250" s="16"/>
      <c r="M250" s="16"/>
      <c r="N250" s="17"/>
      <c r="O250" s="16"/>
      <c r="P250" s="14"/>
      <c r="Q250" s="15"/>
      <c r="R250" s="14"/>
      <c r="S250" s="18"/>
      <c r="T250" s="15"/>
      <c r="U250" s="14"/>
      <c r="V250" s="18"/>
      <c r="W250" s="14"/>
    </row>
    <row r="251" customFormat="false" ht="15" hidden="false" customHeight="false" outlineLevel="0" collapsed="false">
      <c r="A251" s="14"/>
      <c r="B251" s="14"/>
      <c r="C251" s="14"/>
      <c r="D251" s="14"/>
      <c r="E251" s="14"/>
      <c r="F251" s="15"/>
      <c r="G251" s="14"/>
      <c r="H251" s="14"/>
      <c r="I251" s="14"/>
      <c r="J251" s="14"/>
      <c r="K251" s="14"/>
      <c r="L251" s="16"/>
      <c r="M251" s="16"/>
      <c r="N251" s="17"/>
      <c r="O251" s="16"/>
      <c r="P251" s="14"/>
      <c r="Q251" s="15"/>
      <c r="R251" s="14"/>
      <c r="S251" s="18"/>
      <c r="T251" s="15"/>
      <c r="U251" s="14"/>
      <c r="V251" s="18"/>
      <c r="W251" s="14"/>
    </row>
    <row r="252" customFormat="false" ht="15" hidden="false" customHeight="false" outlineLevel="0" collapsed="false">
      <c r="A252" s="14"/>
      <c r="B252" s="14"/>
      <c r="C252" s="14"/>
      <c r="D252" s="14"/>
      <c r="E252" s="14"/>
      <c r="F252" s="15"/>
      <c r="G252" s="14"/>
      <c r="H252" s="14"/>
      <c r="I252" s="14"/>
      <c r="J252" s="14"/>
      <c r="K252" s="14"/>
      <c r="L252" s="16"/>
      <c r="M252" s="16"/>
      <c r="N252" s="17"/>
      <c r="O252" s="16"/>
      <c r="P252" s="14"/>
      <c r="Q252" s="15"/>
      <c r="R252" s="14"/>
      <c r="S252" s="18"/>
      <c r="T252" s="15"/>
      <c r="U252" s="14"/>
      <c r="V252" s="18"/>
      <c r="W252" s="14"/>
    </row>
    <row r="253" customFormat="false" ht="15" hidden="false" customHeight="false" outlineLevel="0" collapsed="false">
      <c r="A253" s="14"/>
      <c r="B253" s="14"/>
      <c r="C253" s="14"/>
      <c r="D253" s="14"/>
      <c r="E253" s="14"/>
      <c r="F253" s="15"/>
      <c r="G253" s="14"/>
      <c r="H253" s="14"/>
      <c r="I253" s="14"/>
      <c r="J253" s="14"/>
      <c r="K253" s="14"/>
      <c r="L253" s="16"/>
      <c r="M253" s="16"/>
      <c r="N253" s="17"/>
      <c r="O253" s="16"/>
      <c r="P253" s="14"/>
      <c r="Q253" s="15"/>
      <c r="R253" s="14"/>
      <c r="S253" s="18"/>
      <c r="T253" s="15"/>
      <c r="U253" s="14"/>
      <c r="V253" s="18"/>
      <c r="W253" s="14"/>
    </row>
    <row r="254" customFormat="false" ht="15" hidden="false" customHeight="false" outlineLevel="0" collapsed="false">
      <c r="A254" s="14"/>
      <c r="B254" s="14"/>
      <c r="C254" s="14"/>
      <c r="D254" s="14"/>
      <c r="E254" s="14"/>
      <c r="F254" s="15"/>
      <c r="G254" s="14"/>
      <c r="H254" s="14"/>
      <c r="I254" s="14"/>
      <c r="J254" s="14"/>
      <c r="K254" s="14"/>
      <c r="L254" s="16"/>
      <c r="M254" s="16"/>
      <c r="N254" s="17"/>
      <c r="O254" s="16"/>
      <c r="P254" s="14"/>
      <c r="Q254" s="15"/>
      <c r="R254" s="14"/>
      <c r="S254" s="18"/>
      <c r="T254" s="15"/>
      <c r="U254" s="14"/>
      <c r="V254" s="18"/>
      <c r="W254" s="14"/>
    </row>
    <row r="255" customFormat="false" ht="15" hidden="false" customHeight="false" outlineLevel="0" collapsed="false">
      <c r="A255" s="14"/>
      <c r="B255" s="14"/>
      <c r="C255" s="14"/>
      <c r="D255" s="14"/>
      <c r="E255" s="14"/>
      <c r="F255" s="15"/>
      <c r="G255" s="14"/>
      <c r="H255" s="14"/>
      <c r="I255" s="14"/>
      <c r="J255" s="14"/>
      <c r="K255" s="14"/>
      <c r="L255" s="16"/>
      <c r="M255" s="16"/>
      <c r="N255" s="17"/>
      <c r="O255" s="16"/>
      <c r="P255" s="14"/>
      <c r="Q255" s="15"/>
      <c r="R255" s="14"/>
      <c r="S255" s="18"/>
      <c r="T255" s="15"/>
      <c r="U255" s="14"/>
      <c r="V255" s="18"/>
      <c r="W255" s="14"/>
    </row>
    <row r="256" customFormat="false" ht="15" hidden="false" customHeight="false" outlineLevel="0" collapsed="false">
      <c r="A256" s="14"/>
      <c r="B256" s="14"/>
      <c r="C256" s="14"/>
      <c r="D256" s="14"/>
      <c r="E256" s="14"/>
      <c r="F256" s="15"/>
      <c r="G256" s="14"/>
      <c r="H256" s="14"/>
      <c r="I256" s="14"/>
      <c r="J256" s="14"/>
      <c r="K256" s="14"/>
      <c r="L256" s="16"/>
      <c r="M256" s="16"/>
      <c r="N256" s="17"/>
      <c r="O256" s="16"/>
      <c r="P256" s="14"/>
      <c r="Q256" s="15"/>
      <c r="R256" s="14"/>
      <c r="S256" s="18"/>
      <c r="T256" s="15"/>
      <c r="U256" s="14"/>
      <c r="V256" s="18"/>
      <c r="W256" s="14"/>
    </row>
    <row r="257" customFormat="false" ht="15" hidden="false" customHeight="false" outlineLevel="0" collapsed="false">
      <c r="A257" s="14"/>
      <c r="B257" s="14"/>
      <c r="C257" s="14"/>
      <c r="D257" s="14"/>
      <c r="E257" s="14"/>
      <c r="F257" s="15"/>
      <c r="G257" s="14"/>
      <c r="H257" s="14"/>
      <c r="I257" s="14"/>
      <c r="J257" s="14"/>
      <c r="K257" s="14"/>
      <c r="L257" s="16"/>
      <c r="M257" s="16"/>
      <c r="N257" s="17"/>
      <c r="O257" s="16"/>
      <c r="P257" s="14"/>
      <c r="Q257" s="15"/>
      <c r="R257" s="14"/>
      <c r="S257" s="18"/>
      <c r="T257" s="15"/>
      <c r="U257" s="14"/>
      <c r="V257" s="18"/>
      <c r="W257" s="14"/>
    </row>
    <row r="258" customFormat="false" ht="15" hidden="false" customHeight="false" outlineLevel="0" collapsed="false">
      <c r="A258" s="14"/>
      <c r="B258" s="14"/>
      <c r="C258" s="14"/>
      <c r="D258" s="14"/>
      <c r="E258" s="14"/>
      <c r="F258" s="15"/>
      <c r="G258" s="14"/>
      <c r="H258" s="14"/>
      <c r="I258" s="14"/>
      <c r="J258" s="14"/>
      <c r="K258" s="14"/>
      <c r="L258" s="16"/>
      <c r="M258" s="16"/>
      <c r="N258" s="17"/>
      <c r="O258" s="16"/>
      <c r="P258" s="14"/>
      <c r="Q258" s="15"/>
      <c r="R258" s="14"/>
      <c r="S258" s="18"/>
      <c r="T258" s="15"/>
      <c r="U258" s="14"/>
      <c r="V258" s="18"/>
      <c r="W258" s="14"/>
    </row>
    <row r="259" customFormat="false" ht="15" hidden="false" customHeight="false" outlineLevel="0" collapsed="false">
      <c r="A259" s="14"/>
      <c r="B259" s="14"/>
      <c r="C259" s="14"/>
      <c r="D259" s="14"/>
      <c r="E259" s="14"/>
      <c r="F259" s="15"/>
      <c r="G259" s="14"/>
      <c r="H259" s="14"/>
      <c r="I259" s="14"/>
      <c r="J259" s="14"/>
      <c r="K259" s="14"/>
      <c r="L259" s="16"/>
      <c r="M259" s="16"/>
      <c r="N259" s="17"/>
      <c r="O259" s="16"/>
      <c r="P259" s="14"/>
      <c r="Q259" s="15"/>
      <c r="R259" s="14"/>
      <c r="S259" s="18"/>
      <c r="T259" s="15"/>
      <c r="U259" s="14"/>
      <c r="V259" s="18"/>
      <c r="W259" s="14"/>
    </row>
    <row r="260" customFormat="false" ht="15" hidden="false" customHeight="false" outlineLevel="0" collapsed="false">
      <c r="A260" s="14"/>
      <c r="B260" s="14"/>
      <c r="C260" s="14"/>
      <c r="D260" s="14"/>
      <c r="E260" s="14"/>
      <c r="F260" s="15"/>
      <c r="G260" s="14"/>
      <c r="H260" s="14"/>
      <c r="I260" s="14"/>
      <c r="J260" s="14"/>
      <c r="K260" s="14"/>
      <c r="L260" s="16"/>
      <c r="M260" s="16"/>
      <c r="N260" s="17"/>
      <c r="O260" s="16"/>
      <c r="P260" s="14"/>
      <c r="Q260" s="15"/>
      <c r="R260" s="14"/>
      <c r="S260" s="18"/>
      <c r="T260" s="15"/>
      <c r="U260" s="14"/>
      <c r="V260" s="18"/>
      <c r="W260" s="14"/>
    </row>
    <row r="261" customFormat="false" ht="15" hidden="false" customHeight="false" outlineLevel="0" collapsed="false">
      <c r="A261" s="14"/>
      <c r="B261" s="14"/>
      <c r="C261" s="14"/>
      <c r="D261" s="14"/>
      <c r="E261" s="14"/>
      <c r="F261" s="15"/>
      <c r="G261" s="14"/>
      <c r="H261" s="14"/>
      <c r="I261" s="14"/>
      <c r="J261" s="14"/>
      <c r="K261" s="14"/>
      <c r="L261" s="16"/>
      <c r="M261" s="16"/>
      <c r="N261" s="17"/>
      <c r="O261" s="16"/>
      <c r="P261" s="14"/>
      <c r="Q261" s="15"/>
      <c r="R261" s="14"/>
      <c r="S261" s="18"/>
      <c r="T261" s="15"/>
      <c r="U261" s="14"/>
      <c r="V261" s="18"/>
      <c r="W261" s="14"/>
    </row>
    <row r="262" customFormat="false" ht="15" hidden="false" customHeight="false" outlineLevel="0" collapsed="false">
      <c r="A262" s="14"/>
      <c r="B262" s="14"/>
      <c r="C262" s="14"/>
      <c r="D262" s="14"/>
      <c r="E262" s="14"/>
      <c r="F262" s="15"/>
      <c r="G262" s="14"/>
      <c r="H262" s="14"/>
      <c r="I262" s="14"/>
      <c r="J262" s="14"/>
      <c r="K262" s="14"/>
      <c r="L262" s="16"/>
      <c r="M262" s="16"/>
      <c r="N262" s="17"/>
      <c r="O262" s="16"/>
      <c r="P262" s="14"/>
      <c r="Q262" s="15"/>
      <c r="R262" s="14"/>
      <c r="S262" s="18"/>
      <c r="T262" s="15"/>
      <c r="U262" s="14"/>
      <c r="V262" s="18"/>
      <c r="W262" s="14"/>
    </row>
    <row r="263" customFormat="false" ht="15" hidden="false" customHeight="false" outlineLevel="0" collapsed="false">
      <c r="A263" s="14"/>
      <c r="B263" s="14"/>
      <c r="C263" s="14"/>
      <c r="D263" s="14"/>
      <c r="E263" s="14"/>
      <c r="F263" s="15"/>
      <c r="G263" s="14"/>
      <c r="H263" s="14"/>
      <c r="I263" s="14"/>
      <c r="J263" s="14"/>
      <c r="K263" s="14"/>
      <c r="L263" s="16"/>
      <c r="M263" s="16"/>
      <c r="N263" s="17"/>
      <c r="O263" s="16"/>
      <c r="P263" s="14"/>
      <c r="Q263" s="15"/>
      <c r="R263" s="14"/>
      <c r="S263" s="18"/>
      <c r="T263" s="15"/>
      <c r="U263" s="14"/>
      <c r="V263" s="18"/>
      <c r="W263" s="14"/>
    </row>
    <row r="264" customFormat="false" ht="15" hidden="false" customHeight="false" outlineLevel="0" collapsed="false">
      <c r="A264" s="14"/>
      <c r="B264" s="14"/>
      <c r="C264" s="14"/>
      <c r="D264" s="14"/>
      <c r="E264" s="14"/>
      <c r="F264" s="15"/>
      <c r="G264" s="14"/>
      <c r="H264" s="14"/>
      <c r="I264" s="14"/>
      <c r="J264" s="14"/>
      <c r="K264" s="14"/>
      <c r="L264" s="16"/>
      <c r="M264" s="16"/>
      <c r="N264" s="17"/>
      <c r="O264" s="16"/>
      <c r="P264" s="14"/>
      <c r="Q264" s="15"/>
      <c r="R264" s="14"/>
      <c r="S264" s="18"/>
      <c r="T264" s="15"/>
      <c r="U264" s="14"/>
      <c r="V264" s="18"/>
      <c r="W264" s="14"/>
    </row>
    <row r="265" customFormat="false" ht="15" hidden="false" customHeight="false" outlineLevel="0" collapsed="false">
      <c r="A265" s="14"/>
      <c r="B265" s="14"/>
      <c r="C265" s="14"/>
      <c r="D265" s="14"/>
      <c r="E265" s="14"/>
      <c r="F265" s="15"/>
      <c r="G265" s="14"/>
      <c r="H265" s="14"/>
      <c r="I265" s="14"/>
      <c r="J265" s="14"/>
      <c r="K265" s="14"/>
      <c r="L265" s="16"/>
      <c r="M265" s="16"/>
      <c r="N265" s="17"/>
      <c r="O265" s="16"/>
      <c r="P265" s="14"/>
      <c r="Q265" s="15"/>
      <c r="R265" s="14"/>
      <c r="S265" s="18"/>
      <c r="T265" s="15"/>
      <c r="U265" s="14"/>
      <c r="V265" s="18"/>
      <c r="W265" s="14"/>
    </row>
    <row r="266" customFormat="false" ht="15" hidden="false" customHeight="false" outlineLevel="0" collapsed="false">
      <c r="A266" s="14"/>
      <c r="B266" s="14"/>
      <c r="C266" s="14"/>
      <c r="D266" s="14"/>
      <c r="E266" s="14"/>
      <c r="F266" s="15"/>
      <c r="G266" s="14"/>
      <c r="H266" s="14"/>
      <c r="I266" s="14"/>
      <c r="J266" s="14"/>
      <c r="K266" s="14"/>
      <c r="L266" s="16"/>
      <c r="M266" s="16"/>
      <c r="N266" s="17"/>
      <c r="O266" s="16"/>
      <c r="P266" s="14"/>
      <c r="Q266" s="15"/>
      <c r="R266" s="14"/>
      <c r="S266" s="18"/>
      <c r="T266" s="15"/>
      <c r="U266" s="14"/>
      <c r="V266" s="18"/>
      <c r="W266" s="14"/>
    </row>
    <row r="267" customFormat="false" ht="15" hidden="false" customHeight="false" outlineLevel="0" collapsed="false">
      <c r="A267" s="14"/>
      <c r="B267" s="14"/>
      <c r="C267" s="14"/>
      <c r="D267" s="14"/>
      <c r="E267" s="14"/>
      <c r="F267" s="15"/>
      <c r="G267" s="14"/>
      <c r="H267" s="14"/>
      <c r="I267" s="14"/>
      <c r="J267" s="14"/>
      <c r="K267" s="14"/>
      <c r="L267" s="16"/>
      <c r="M267" s="16"/>
      <c r="N267" s="17"/>
      <c r="O267" s="16"/>
      <c r="P267" s="14"/>
      <c r="Q267" s="15"/>
      <c r="R267" s="14"/>
      <c r="S267" s="18"/>
      <c r="T267" s="15"/>
      <c r="U267" s="14"/>
      <c r="V267" s="18"/>
      <c r="W267" s="14"/>
    </row>
    <row r="268" customFormat="false" ht="15" hidden="false" customHeight="false" outlineLevel="0" collapsed="false">
      <c r="A268" s="14"/>
      <c r="B268" s="14"/>
      <c r="C268" s="14"/>
      <c r="D268" s="14"/>
      <c r="E268" s="14"/>
      <c r="F268" s="15"/>
      <c r="G268" s="14"/>
      <c r="H268" s="14"/>
      <c r="I268" s="14"/>
      <c r="J268" s="14"/>
      <c r="K268" s="14"/>
      <c r="L268" s="16"/>
      <c r="M268" s="16"/>
      <c r="N268" s="17"/>
      <c r="O268" s="16"/>
      <c r="P268" s="14"/>
      <c r="Q268" s="15"/>
      <c r="R268" s="14"/>
      <c r="S268" s="18"/>
      <c r="T268" s="15"/>
      <c r="U268" s="14"/>
      <c r="V268" s="18"/>
      <c r="W268" s="14"/>
    </row>
    <row r="269" customFormat="false" ht="15" hidden="false" customHeight="false" outlineLevel="0" collapsed="false">
      <c r="A269" s="14"/>
      <c r="B269" s="14"/>
      <c r="C269" s="14"/>
      <c r="D269" s="14"/>
      <c r="E269" s="14"/>
      <c r="F269" s="15"/>
      <c r="G269" s="14"/>
      <c r="H269" s="14"/>
      <c r="I269" s="14"/>
      <c r="J269" s="14"/>
      <c r="K269" s="14"/>
      <c r="L269" s="16"/>
      <c r="M269" s="16"/>
      <c r="N269" s="17"/>
      <c r="O269" s="16"/>
      <c r="P269" s="14"/>
      <c r="Q269" s="15"/>
      <c r="R269" s="14"/>
      <c r="S269" s="18"/>
      <c r="T269" s="15"/>
      <c r="U269" s="14"/>
      <c r="V269" s="18"/>
      <c r="W269" s="14"/>
    </row>
    <row r="270" customFormat="false" ht="15" hidden="false" customHeight="false" outlineLevel="0" collapsed="false">
      <c r="A270" s="14"/>
      <c r="B270" s="14"/>
      <c r="C270" s="14"/>
      <c r="D270" s="14"/>
      <c r="E270" s="14"/>
      <c r="F270" s="15"/>
      <c r="G270" s="14"/>
      <c r="H270" s="14"/>
      <c r="I270" s="14"/>
      <c r="J270" s="14"/>
      <c r="K270" s="14"/>
      <c r="L270" s="16"/>
      <c r="M270" s="16"/>
      <c r="N270" s="17"/>
      <c r="O270" s="16"/>
      <c r="P270" s="14"/>
      <c r="Q270" s="15"/>
      <c r="R270" s="14"/>
      <c r="S270" s="18"/>
      <c r="T270" s="15"/>
      <c r="U270" s="14"/>
      <c r="V270" s="18"/>
      <c r="W270" s="14"/>
    </row>
    <row r="271" customFormat="false" ht="15" hidden="false" customHeight="false" outlineLevel="0" collapsed="false">
      <c r="A271" s="14"/>
      <c r="B271" s="14"/>
      <c r="C271" s="14"/>
      <c r="D271" s="14"/>
      <c r="E271" s="14"/>
      <c r="F271" s="15"/>
      <c r="G271" s="14"/>
      <c r="H271" s="14"/>
      <c r="I271" s="14"/>
      <c r="J271" s="14"/>
      <c r="K271" s="14"/>
      <c r="L271" s="16"/>
      <c r="M271" s="16"/>
      <c r="N271" s="17"/>
      <c r="O271" s="16"/>
      <c r="P271" s="14"/>
      <c r="Q271" s="15"/>
      <c r="R271" s="14"/>
      <c r="S271" s="18"/>
      <c r="T271" s="15"/>
      <c r="U271" s="14"/>
      <c r="V271" s="18"/>
      <c r="W271" s="14"/>
    </row>
    <row r="272" customFormat="false" ht="15" hidden="false" customHeight="false" outlineLevel="0" collapsed="false">
      <c r="A272" s="14"/>
      <c r="B272" s="14"/>
      <c r="C272" s="14"/>
      <c r="D272" s="14"/>
      <c r="E272" s="14"/>
      <c r="F272" s="15"/>
      <c r="G272" s="14"/>
      <c r="H272" s="14"/>
      <c r="I272" s="14"/>
      <c r="J272" s="14"/>
      <c r="K272" s="14"/>
      <c r="L272" s="16"/>
      <c r="M272" s="16"/>
      <c r="N272" s="17"/>
      <c r="O272" s="16"/>
      <c r="P272" s="14"/>
      <c r="Q272" s="15"/>
      <c r="R272" s="14"/>
      <c r="S272" s="18"/>
      <c r="T272" s="15"/>
      <c r="U272" s="14"/>
      <c r="V272" s="18"/>
      <c r="W272" s="14"/>
    </row>
    <row r="273" customFormat="false" ht="15" hidden="false" customHeight="false" outlineLevel="0" collapsed="false">
      <c r="A273" s="14"/>
      <c r="B273" s="14"/>
      <c r="C273" s="14"/>
      <c r="D273" s="14"/>
      <c r="E273" s="14"/>
      <c r="F273" s="15"/>
      <c r="G273" s="14"/>
      <c r="H273" s="14"/>
      <c r="I273" s="14"/>
      <c r="J273" s="14"/>
      <c r="K273" s="14"/>
      <c r="L273" s="16"/>
      <c r="M273" s="16"/>
      <c r="N273" s="17"/>
      <c r="O273" s="16"/>
      <c r="P273" s="14"/>
      <c r="Q273" s="15"/>
      <c r="R273" s="14"/>
      <c r="S273" s="18"/>
      <c r="T273" s="15"/>
      <c r="U273" s="14"/>
      <c r="V273" s="18"/>
      <c r="W273" s="14"/>
    </row>
    <row r="274" customFormat="false" ht="15" hidden="false" customHeight="false" outlineLevel="0" collapsed="false">
      <c r="A274" s="14"/>
      <c r="B274" s="14"/>
      <c r="C274" s="14"/>
      <c r="D274" s="14"/>
      <c r="E274" s="14"/>
      <c r="F274" s="15"/>
      <c r="G274" s="14"/>
      <c r="H274" s="14"/>
      <c r="I274" s="14"/>
      <c r="J274" s="14"/>
      <c r="K274" s="14"/>
      <c r="L274" s="16"/>
      <c r="M274" s="16"/>
      <c r="N274" s="17"/>
      <c r="O274" s="16"/>
      <c r="P274" s="14"/>
      <c r="Q274" s="15"/>
      <c r="R274" s="14"/>
      <c r="S274" s="18"/>
      <c r="T274" s="15"/>
      <c r="U274" s="14"/>
      <c r="V274" s="18"/>
      <c r="W274" s="14"/>
    </row>
    <row r="275" customFormat="false" ht="15" hidden="false" customHeight="false" outlineLevel="0" collapsed="false">
      <c r="A275" s="14"/>
      <c r="B275" s="14"/>
      <c r="C275" s="14"/>
      <c r="D275" s="14"/>
      <c r="E275" s="14"/>
      <c r="F275" s="15"/>
      <c r="G275" s="14"/>
      <c r="H275" s="14"/>
      <c r="I275" s="14"/>
      <c r="J275" s="14"/>
      <c r="K275" s="14"/>
      <c r="L275" s="16"/>
      <c r="M275" s="16"/>
      <c r="N275" s="17"/>
      <c r="O275" s="16"/>
      <c r="P275" s="14"/>
      <c r="Q275" s="15"/>
      <c r="R275" s="14"/>
      <c r="S275" s="18"/>
      <c r="T275" s="15"/>
      <c r="U275" s="14"/>
      <c r="V275" s="18"/>
      <c r="W275" s="14"/>
    </row>
    <row r="276" customFormat="false" ht="15" hidden="false" customHeight="false" outlineLevel="0" collapsed="false">
      <c r="A276" s="14"/>
      <c r="B276" s="14"/>
      <c r="C276" s="14"/>
      <c r="D276" s="14"/>
      <c r="E276" s="14"/>
      <c r="F276" s="15"/>
      <c r="G276" s="14"/>
      <c r="H276" s="14"/>
      <c r="I276" s="14"/>
      <c r="J276" s="14"/>
      <c r="K276" s="14"/>
      <c r="L276" s="16"/>
      <c r="M276" s="16"/>
      <c r="N276" s="17"/>
      <c r="O276" s="16"/>
      <c r="P276" s="14"/>
      <c r="Q276" s="15"/>
      <c r="R276" s="14"/>
      <c r="S276" s="18"/>
      <c r="T276" s="15"/>
      <c r="U276" s="14"/>
      <c r="V276" s="18"/>
      <c r="W276" s="14"/>
    </row>
    <row r="277" customFormat="false" ht="15" hidden="false" customHeight="false" outlineLevel="0" collapsed="false">
      <c r="A277" s="14"/>
      <c r="B277" s="14"/>
      <c r="C277" s="14"/>
      <c r="D277" s="14"/>
      <c r="E277" s="14"/>
      <c r="F277" s="15"/>
      <c r="G277" s="14"/>
      <c r="H277" s="14"/>
      <c r="I277" s="14"/>
      <c r="J277" s="14"/>
      <c r="K277" s="14"/>
      <c r="L277" s="16"/>
      <c r="M277" s="16"/>
      <c r="N277" s="17"/>
      <c r="O277" s="16"/>
      <c r="P277" s="14"/>
      <c r="Q277" s="15"/>
      <c r="R277" s="14"/>
      <c r="S277" s="18"/>
      <c r="T277" s="15"/>
      <c r="U277" s="14"/>
      <c r="V277" s="18"/>
      <c r="W277" s="14"/>
    </row>
    <row r="278" customFormat="false" ht="15" hidden="false" customHeight="false" outlineLevel="0" collapsed="false">
      <c r="A278" s="14"/>
      <c r="B278" s="14"/>
      <c r="C278" s="14"/>
      <c r="D278" s="14"/>
      <c r="E278" s="14"/>
      <c r="F278" s="15"/>
      <c r="G278" s="14"/>
      <c r="H278" s="14"/>
      <c r="I278" s="14"/>
      <c r="J278" s="14"/>
      <c r="K278" s="14"/>
      <c r="L278" s="16"/>
      <c r="M278" s="16"/>
      <c r="N278" s="17"/>
      <c r="O278" s="16"/>
      <c r="P278" s="14"/>
      <c r="Q278" s="15"/>
      <c r="R278" s="14"/>
      <c r="S278" s="18"/>
      <c r="T278" s="15"/>
      <c r="U278" s="14"/>
      <c r="V278" s="18"/>
      <c r="W278" s="14"/>
    </row>
    <row r="279" customFormat="false" ht="15" hidden="false" customHeight="false" outlineLevel="0" collapsed="false">
      <c r="A279" s="14"/>
      <c r="B279" s="14"/>
      <c r="C279" s="14"/>
      <c r="D279" s="14"/>
      <c r="E279" s="14"/>
      <c r="F279" s="15"/>
      <c r="G279" s="14"/>
      <c r="H279" s="14"/>
      <c r="I279" s="14"/>
      <c r="J279" s="14"/>
      <c r="K279" s="14"/>
      <c r="L279" s="16"/>
      <c r="M279" s="16"/>
      <c r="N279" s="17"/>
      <c r="O279" s="16"/>
      <c r="P279" s="14"/>
      <c r="Q279" s="15"/>
      <c r="R279" s="14"/>
      <c r="S279" s="18"/>
      <c r="T279" s="15"/>
      <c r="U279" s="14"/>
      <c r="V279" s="18"/>
      <c r="W279" s="14"/>
    </row>
    <row r="280" customFormat="false" ht="15" hidden="false" customHeight="false" outlineLevel="0" collapsed="false">
      <c r="A280" s="14"/>
      <c r="B280" s="14"/>
      <c r="C280" s="14"/>
      <c r="D280" s="14"/>
      <c r="E280" s="14"/>
      <c r="F280" s="15"/>
      <c r="G280" s="14"/>
      <c r="H280" s="14"/>
      <c r="I280" s="14"/>
      <c r="J280" s="14"/>
      <c r="K280" s="14"/>
      <c r="L280" s="16"/>
      <c r="M280" s="16"/>
      <c r="N280" s="17"/>
      <c r="O280" s="16"/>
      <c r="P280" s="14"/>
      <c r="Q280" s="15"/>
      <c r="R280" s="14"/>
      <c r="S280" s="18"/>
      <c r="T280" s="15"/>
      <c r="U280" s="14"/>
      <c r="V280" s="18"/>
      <c r="W280" s="14"/>
    </row>
    <row r="281" customFormat="false" ht="15" hidden="false" customHeight="false" outlineLevel="0" collapsed="false">
      <c r="A281" s="14"/>
      <c r="B281" s="14"/>
      <c r="C281" s="14"/>
      <c r="D281" s="14"/>
      <c r="E281" s="14"/>
      <c r="F281" s="15"/>
      <c r="G281" s="14"/>
      <c r="H281" s="14"/>
      <c r="I281" s="14"/>
      <c r="J281" s="14"/>
      <c r="K281" s="14"/>
      <c r="L281" s="16"/>
      <c r="M281" s="16"/>
      <c r="N281" s="17"/>
      <c r="O281" s="16"/>
      <c r="P281" s="14"/>
      <c r="Q281" s="15"/>
      <c r="R281" s="14"/>
      <c r="S281" s="18"/>
      <c r="T281" s="15"/>
      <c r="U281" s="14"/>
      <c r="V281" s="18"/>
      <c r="W281" s="14"/>
    </row>
    <row r="282" customFormat="false" ht="15" hidden="false" customHeight="false" outlineLevel="0" collapsed="false">
      <c r="A282" s="14"/>
      <c r="B282" s="14"/>
      <c r="C282" s="14"/>
      <c r="D282" s="14"/>
      <c r="E282" s="14"/>
      <c r="F282" s="15"/>
      <c r="G282" s="14"/>
      <c r="H282" s="14"/>
      <c r="I282" s="14"/>
      <c r="J282" s="14"/>
      <c r="K282" s="14"/>
      <c r="L282" s="16"/>
      <c r="M282" s="16"/>
      <c r="N282" s="17"/>
      <c r="O282" s="16"/>
      <c r="P282" s="14"/>
      <c r="Q282" s="15"/>
      <c r="R282" s="14"/>
      <c r="S282" s="18"/>
      <c r="T282" s="15"/>
      <c r="U282" s="14"/>
      <c r="V282" s="18"/>
      <c r="W282" s="14"/>
    </row>
    <row r="283" customFormat="false" ht="15" hidden="false" customHeight="false" outlineLevel="0" collapsed="false">
      <c r="A283" s="14"/>
      <c r="B283" s="14"/>
      <c r="C283" s="14"/>
      <c r="D283" s="14"/>
      <c r="E283" s="14"/>
      <c r="F283" s="15"/>
      <c r="G283" s="14"/>
      <c r="H283" s="14"/>
      <c r="I283" s="14"/>
      <c r="J283" s="14"/>
      <c r="K283" s="14"/>
      <c r="L283" s="16"/>
      <c r="M283" s="16"/>
      <c r="N283" s="17"/>
      <c r="O283" s="16"/>
      <c r="P283" s="14"/>
      <c r="Q283" s="15"/>
      <c r="R283" s="14"/>
      <c r="S283" s="18"/>
      <c r="T283" s="15"/>
      <c r="U283" s="14"/>
      <c r="V283" s="18"/>
      <c r="W283" s="14"/>
    </row>
    <row r="284" customFormat="false" ht="15" hidden="false" customHeight="false" outlineLevel="0" collapsed="false">
      <c r="A284" s="14"/>
      <c r="B284" s="14"/>
      <c r="C284" s="14"/>
      <c r="D284" s="14"/>
      <c r="E284" s="14"/>
      <c r="F284" s="15"/>
      <c r="G284" s="14"/>
      <c r="H284" s="14"/>
      <c r="I284" s="14"/>
      <c r="J284" s="14"/>
      <c r="K284" s="14"/>
      <c r="L284" s="16"/>
      <c r="M284" s="16"/>
      <c r="N284" s="17"/>
      <c r="O284" s="16"/>
      <c r="P284" s="14"/>
      <c r="Q284" s="15"/>
      <c r="R284" s="14"/>
      <c r="S284" s="18"/>
      <c r="T284" s="15"/>
      <c r="U284" s="14"/>
      <c r="V284" s="18"/>
      <c r="W284" s="14"/>
    </row>
    <row r="285" customFormat="false" ht="15" hidden="false" customHeight="false" outlineLevel="0" collapsed="false">
      <c r="A285" s="14"/>
      <c r="B285" s="14"/>
      <c r="C285" s="14"/>
      <c r="D285" s="14"/>
      <c r="E285" s="14"/>
      <c r="F285" s="15"/>
      <c r="G285" s="14"/>
      <c r="H285" s="14"/>
      <c r="I285" s="14"/>
      <c r="J285" s="14"/>
      <c r="K285" s="14"/>
      <c r="L285" s="16"/>
      <c r="M285" s="16"/>
      <c r="N285" s="17"/>
      <c r="O285" s="16"/>
      <c r="P285" s="14"/>
      <c r="Q285" s="15"/>
      <c r="R285" s="14"/>
      <c r="S285" s="18"/>
      <c r="T285" s="15"/>
      <c r="U285" s="14"/>
      <c r="V285" s="18"/>
      <c r="W285" s="14"/>
    </row>
    <row r="286" customFormat="false" ht="15" hidden="false" customHeight="false" outlineLevel="0" collapsed="false">
      <c r="A286" s="14"/>
      <c r="B286" s="14"/>
      <c r="C286" s="14"/>
      <c r="D286" s="14"/>
      <c r="E286" s="14"/>
      <c r="F286" s="15"/>
      <c r="G286" s="14"/>
      <c r="H286" s="14"/>
      <c r="I286" s="14"/>
      <c r="J286" s="14"/>
      <c r="K286" s="14"/>
      <c r="L286" s="16"/>
      <c r="M286" s="16"/>
      <c r="N286" s="17"/>
      <c r="O286" s="16"/>
      <c r="P286" s="14"/>
      <c r="Q286" s="15"/>
      <c r="R286" s="14"/>
      <c r="S286" s="18"/>
      <c r="T286" s="15"/>
      <c r="U286" s="14"/>
      <c r="V286" s="18"/>
      <c r="W286" s="14"/>
    </row>
    <row r="287" customFormat="false" ht="15" hidden="false" customHeight="false" outlineLevel="0" collapsed="false">
      <c r="A287" s="14"/>
      <c r="B287" s="14"/>
      <c r="C287" s="14"/>
      <c r="D287" s="14"/>
      <c r="E287" s="14"/>
      <c r="F287" s="15"/>
      <c r="G287" s="14"/>
      <c r="H287" s="14"/>
      <c r="I287" s="14"/>
      <c r="J287" s="14"/>
      <c r="K287" s="14"/>
      <c r="L287" s="16"/>
      <c r="M287" s="16"/>
      <c r="N287" s="17"/>
      <c r="O287" s="16"/>
      <c r="P287" s="14"/>
      <c r="Q287" s="15"/>
      <c r="R287" s="14"/>
      <c r="S287" s="18"/>
      <c r="T287" s="15"/>
      <c r="U287" s="14"/>
      <c r="V287" s="18"/>
      <c r="W287" s="14"/>
    </row>
    <row r="288" customFormat="false" ht="15" hidden="false" customHeight="false" outlineLevel="0" collapsed="false">
      <c r="A288" s="14"/>
      <c r="B288" s="14"/>
      <c r="C288" s="14"/>
      <c r="D288" s="14"/>
      <c r="E288" s="14"/>
      <c r="F288" s="15"/>
      <c r="G288" s="14"/>
      <c r="H288" s="14"/>
      <c r="I288" s="14"/>
      <c r="J288" s="14"/>
      <c r="K288" s="14"/>
      <c r="L288" s="16"/>
      <c r="M288" s="16"/>
      <c r="N288" s="17"/>
      <c r="O288" s="16"/>
      <c r="P288" s="14"/>
      <c r="Q288" s="15"/>
      <c r="R288" s="14"/>
      <c r="S288" s="18"/>
      <c r="T288" s="15"/>
      <c r="U288" s="14"/>
      <c r="V288" s="18"/>
      <c r="W288" s="14"/>
    </row>
    <row r="289" customFormat="false" ht="15" hidden="false" customHeight="false" outlineLevel="0" collapsed="false">
      <c r="A289" s="14"/>
      <c r="B289" s="14"/>
      <c r="C289" s="14"/>
      <c r="D289" s="14"/>
      <c r="E289" s="14"/>
      <c r="F289" s="15"/>
      <c r="G289" s="14"/>
      <c r="H289" s="14"/>
      <c r="I289" s="14"/>
      <c r="J289" s="14"/>
      <c r="K289" s="14"/>
      <c r="L289" s="16"/>
      <c r="M289" s="16"/>
      <c r="N289" s="17"/>
      <c r="O289" s="16"/>
      <c r="P289" s="14"/>
      <c r="Q289" s="15"/>
      <c r="R289" s="14"/>
      <c r="S289" s="18"/>
      <c r="T289" s="15"/>
      <c r="U289" s="14"/>
      <c r="V289" s="18"/>
      <c r="W289" s="14"/>
    </row>
    <row r="290" customFormat="false" ht="15" hidden="false" customHeight="false" outlineLevel="0" collapsed="false">
      <c r="A290" s="14"/>
      <c r="B290" s="14"/>
      <c r="C290" s="14"/>
      <c r="D290" s="14"/>
      <c r="E290" s="14"/>
      <c r="F290" s="15"/>
      <c r="G290" s="14"/>
      <c r="H290" s="14"/>
      <c r="I290" s="14"/>
      <c r="J290" s="14"/>
      <c r="K290" s="14"/>
      <c r="L290" s="16"/>
      <c r="M290" s="16"/>
      <c r="N290" s="17"/>
      <c r="O290" s="16"/>
      <c r="P290" s="14"/>
      <c r="Q290" s="15"/>
      <c r="R290" s="14"/>
      <c r="S290" s="18"/>
      <c r="T290" s="15"/>
      <c r="U290" s="14"/>
      <c r="V290" s="18"/>
      <c r="W290" s="14"/>
    </row>
    <row r="291" customFormat="false" ht="15" hidden="false" customHeight="false" outlineLevel="0" collapsed="false">
      <c r="A291" s="14"/>
      <c r="B291" s="14"/>
      <c r="C291" s="14"/>
      <c r="D291" s="14"/>
      <c r="E291" s="14"/>
      <c r="F291" s="15"/>
      <c r="G291" s="14"/>
      <c r="H291" s="14"/>
      <c r="I291" s="14"/>
      <c r="J291" s="14"/>
      <c r="K291" s="14"/>
      <c r="L291" s="16"/>
      <c r="M291" s="16"/>
      <c r="N291" s="17"/>
      <c r="O291" s="16"/>
      <c r="P291" s="14"/>
      <c r="Q291" s="15"/>
      <c r="R291" s="14"/>
      <c r="S291" s="18"/>
      <c r="T291" s="15"/>
      <c r="U291" s="14"/>
      <c r="V291" s="18"/>
      <c r="W291" s="14"/>
    </row>
    <row r="292" customFormat="false" ht="15" hidden="false" customHeight="false" outlineLevel="0" collapsed="false">
      <c r="A292" s="14"/>
      <c r="B292" s="14"/>
      <c r="C292" s="14"/>
      <c r="D292" s="14"/>
      <c r="E292" s="14"/>
      <c r="F292" s="15"/>
      <c r="G292" s="14"/>
      <c r="H292" s="14"/>
      <c r="I292" s="14"/>
      <c r="J292" s="14"/>
      <c r="K292" s="14"/>
      <c r="L292" s="16"/>
      <c r="M292" s="16"/>
      <c r="N292" s="17"/>
      <c r="O292" s="16"/>
      <c r="P292" s="14"/>
      <c r="Q292" s="15"/>
      <c r="R292" s="14"/>
      <c r="S292" s="18"/>
      <c r="T292" s="15"/>
      <c r="U292" s="14"/>
      <c r="V292" s="18"/>
      <c r="W292" s="14"/>
    </row>
    <row r="293" customFormat="false" ht="15" hidden="false" customHeight="false" outlineLevel="0" collapsed="false">
      <c r="A293" s="14"/>
      <c r="B293" s="14"/>
      <c r="C293" s="14"/>
      <c r="D293" s="14"/>
      <c r="E293" s="14"/>
      <c r="F293" s="15"/>
      <c r="G293" s="14"/>
      <c r="H293" s="14"/>
      <c r="I293" s="14"/>
      <c r="J293" s="14"/>
      <c r="K293" s="14"/>
      <c r="L293" s="16"/>
      <c r="M293" s="16"/>
      <c r="N293" s="17"/>
      <c r="O293" s="16"/>
      <c r="P293" s="14"/>
      <c r="Q293" s="15"/>
      <c r="R293" s="14"/>
      <c r="S293" s="18"/>
      <c r="T293" s="15"/>
      <c r="U293" s="14"/>
      <c r="V293" s="18"/>
      <c r="W293" s="14"/>
    </row>
    <row r="294" customFormat="false" ht="15" hidden="false" customHeight="false" outlineLevel="0" collapsed="false">
      <c r="A294" s="14"/>
      <c r="B294" s="14"/>
      <c r="C294" s="14"/>
      <c r="D294" s="14"/>
      <c r="E294" s="14"/>
      <c r="F294" s="15"/>
      <c r="G294" s="14"/>
      <c r="H294" s="14"/>
      <c r="I294" s="14"/>
      <c r="J294" s="14"/>
      <c r="K294" s="14"/>
      <c r="L294" s="16"/>
      <c r="M294" s="16"/>
      <c r="N294" s="17"/>
      <c r="O294" s="16"/>
      <c r="P294" s="14"/>
      <c r="Q294" s="15"/>
      <c r="R294" s="14"/>
      <c r="S294" s="18"/>
      <c r="T294" s="15"/>
      <c r="U294" s="14"/>
      <c r="V294" s="18"/>
      <c r="W294" s="14"/>
    </row>
    <row r="295" customFormat="false" ht="15" hidden="false" customHeight="false" outlineLevel="0" collapsed="false">
      <c r="A295" s="14"/>
      <c r="B295" s="14"/>
      <c r="C295" s="14"/>
      <c r="D295" s="14"/>
      <c r="E295" s="14"/>
      <c r="F295" s="15"/>
      <c r="G295" s="14"/>
      <c r="H295" s="14"/>
      <c r="I295" s="14"/>
      <c r="J295" s="14"/>
      <c r="K295" s="14"/>
      <c r="L295" s="16"/>
      <c r="M295" s="16"/>
      <c r="N295" s="17"/>
      <c r="O295" s="16"/>
      <c r="P295" s="14"/>
      <c r="Q295" s="15"/>
      <c r="R295" s="14"/>
      <c r="S295" s="18"/>
      <c r="T295" s="15"/>
      <c r="U295" s="14"/>
      <c r="V295" s="18"/>
      <c r="W295" s="14"/>
    </row>
    <row r="296" customFormat="false" ht="15" hidden="false" customHeight="false" outlineLevel="0" collapsed="false">
      <c r="A296" s="14"/>
      <c r="B296" s="14"/>
      <c r="C296" s="14"/>
      <c r="D296" s="14"/>
      <c r="E296" s="14"/>
      <c r="F296" s="15"/>
      <c r="G296" s="14"/>
      <c r="H296" s="14"/>
      <c r="I296" s="14"/>
      <c r="J296" s="14"/>
      <c r="K296" s="14"/>
      <c r="L296" s="16"/>
      <c r="M296" s="16"/>
      <c r="N296" s="17"/>
      <c r="O296" s="16"/>
      <c r="P296" s="14"/>
      <c r="Q296" s="15"/>
      <c r="R296" s="14"/>
      <c r="S296" s="18"/>
      <c r="T296" s="15"/>
      <c r="U296" s="14"/>
      <c r="V296" s="18"/>
      <c r="W296" s="14"/>
    </row>
    <row r="297" customFormat="false" ht="15" hidden="false" customHeight="false" outlineLevel="0" collapsed="false">
      <c r="A297" s="14"/>
      <c r="B297" s="14"/>
      <c r="C297" s="14"/>
      <c r="D297" s="14"/>
      <c r="E297" s="14"/>
      <c r="F297" s="15"/>
      <c r="G297" s="14"/>
      <c r="H297" s="14"/>
      <c r="I297" s="14"/>
      <c r="J297" s="14"/>
      <c r="K297" s="14"/>
      <c r="L297" s="16"/>
      <c r="M297" s="16"/>
      <c r="N297" s="17"/>
      <c r="O297" s="16"/>
      <c r="P297" s="14"/>
      <c r="Q297" s="15"/>
      <c r="R297" s="14"/>
      <c r="S297" s="18"/>
      <c r="T297" s="15"/>
      <c r="U297" s="14"/>
      <c r="V297" s="18"/>
      <c r="W297" s="14"/>
    </row>
    <row r="298" customFormat="false" ht="15" hidden="false" customHeight="false" outlineLevel="0" collapsed="false">
      <c r="A298" s="14"/>
      <c r="B298" s="14"/>
      <c r="C298" s="14"/>
      <c r="D298" s="14"/>
      <c r="E298" s="14"/>
      <c r="F298" s="15"/>
      <c r="G298" s="14"/>
      <c r="H298" s="14"/>
      <c r="I298" s="14"/>
      <c r="J298" s="14"/>
      <c r="K298" s="14"/>
      <c r="L298" s="16"/>
      <c r="M298" s="16"/>
      <c r="N298" s="17"/>
      <c r="O298" s="16"/>
      <c r="P298" s="14"/>
      <c r="Q298" s="15"/>
      <c r="R298" s="14"/>
      <c r="S298" s="18"/>
      <c r="T298" s="15"/>
      <c r="U298" s="14"/>
      <c r="V298" s="18"/>
      <c r="W298" s="14"/>
    </row>
    <row r="299" customFormat="false" ht="15" hidden="false" customHeight="false" outlineLevel="0" collapsed="false">
      <c r="A299" s="14"/>
      <c r="B299" s="14"/>
      <c r="C299" s="14"/>
      <c r="D299" s="14"/>
      <c r="E299" s="14"/>
      <c r="F299" s="15"/>
      <c r="G299" s="14"/>
      <c r="H299" s="14"/>
      <c r="I299" s="14"/>
      <c r="J299" s="14"/>
      <c r="K299" s="14"/>
      <c r="L299" s="16"/>
      <c r="M299" s="16"/>
      <c r="N299" s="17"/>
      <c r="O299" s="16"/>
      <c r="P299" s="14"/>
      <c r="Q299" s="15"/>
      <c r="R299" s="14"/>
      <c r="S299" s="18"/>
      <c r="T299" s="15"/>
      <c r="U299" s="14"/>
      <c r="V299" s="18"/>
      <c r="W299" s="14"/>
    </row>
    <row r="300" customFormat="false" ht="15" hidden="false" customHeight="false" outlineLevel="0" collapsed="false">
      <c r="A300" s="14"/>
      <c r="B300" s="14"/>
      <c r="C300" s="14"/>
      <c r="D300" s="14"/>
      <c r="E300" s="14"/>
      <c r="F300" s="15"/>
      <c r="G300" s="14"/>
      <c r="H300" s="14"/>
      <c r="I300" s="14"/>
      <c r="J300" s="14"/>
      <c r="K300" s="14"/>
      <c r="L300" s="16"/>
      <c r="M300" s="16"/>
      <c r="N300" s="17"/>
      <c r="O300" s="16"/>
      <c r="P300" s="14"/>
      <c r="Q300" s="15"/>
      <c r="R300" s="14"/>
      <c r="S300" s="18"/>
      <c r="T300" s="15"/>
      <c r="U300" s="14"/>
      <c r="V300" s="18"/>
      <c r="W300" s="14"/>
    </row>
    <row r="301" customFormat="false" ht="15" hidden="false" customHeight="false" outlineLevel="0" collapsed="false">
      <c r="A301" s="14"/>
      <c r="B301" s="14"/>
      <c r="C301" s="14"/>
      <c r="D301" s="14"/>
      <c r="E301" s="14"/>
      <c r="F301" s="15"/>
      <c r="G301" s="14"/>
      <c r="H301" s="14"/>
      <c r="I301" s="14"/>
      <c r="J301" s="14"/>
      <c r="K301" s="14"/>
      <c r="L301" s="16"/>
      <c r="M301" s="16"/>
      <c r="N301" s="17"/>
      <c r="O301" s="16"/>
      <c r="P301" s="14"/>
      <c r="Q301" s="15"/>
      <c r="R301" s="14"/>
      <c r="S301" s="18"/>
      <c r="T301" s="15"/>
      <c r="U301" s="14"/>
      <c r="V301" s="18"/>
      <c r="W301" s="14"/>
    </row>
    <row r="302" customFormat="false" ht="15" hidden="false" customHeight="false" outlineLevel="0" collapsed="false">
      <c r="A302" s="14"/>
      <c r="B302" s="14"/>
      <c r="C302" s="14"/>
      <c r="D302" s="14"/>
      <c r="E302" s="14"/>
      <c r="F302" s="15"/>
      <c r="G302" s="14"/>
      <c r="H302" s="14"/>
      <c r="I302" s="14"/>
      <c r="J302" s="14"/>
      <c r="K302" s="14"/>
      <c r="L302" s="16"/>
      <c r="M302" s="16"/>
      <c r="N302" s="17"/>
      <c r="O302" s="16"/>
      <c r="P302" s="14"/>
      <c r="Q302" s="15"/>
      <c r="R302" s="14"/>
      <c r="S302" s="18"/>
      <c r="T302" s="15"/>
      <c r="U302" s="14"/>
      <c r="V302" s="18"/>
      <c r="W302" s="14"/>
    </row>
    <row r="303" customFormat="false" ht="15" hidden="false" customHeight="false" outlineLevel="0" collapsed="false">
      <c r="A303" s="14"/>
      <c r="B303" s="14"/>
      <c r="C303" s="14"/>
      <c r="D303" s="14"/>
      <c r="E303" s="14"/>
      <c r="F303" s="15"/>
      <c r="G303" s="14"/>
      <c r="H303" s="14"/>
      <c r="I303" s="14"/>
      <c r="J303" s="14"/>
      <c r="K303" s="14"/>
      <c r="L303" s="16"/>
      <c r="M303" s="16"/>
      <c r="N303" s="17"/>
      <c r="O303" s="16"/>
      <c r="P303" s="14"/>
      <c r="Q303" s="15"/>
      <c r="R303" s="14"/>
      <c r="S303" s="18"/>
      <c r="T303" s="15"/>
      <c r="U303" s="14"/>
      <c r="V303" s="18"/>
      <c r="W303" s="14"/>
    </row>
    <row r="304" customFormat="false" ht="15" hidden="false" customHeight="false" outlineLevel="0" collapsed="false">
      <c r="A304" s="14"/>
      <c r="B304" s="14"/>
      <c r="C304" s="14"/>
      <c r="D304" s="14"/>
      <c r="E304" s="14"/>
      <c r="F304" s="15"/>
      <c r="G304" s="14"/>
      <c r="H304" s="14"/>
      <c r="I304" s="14"/>
      <c r="J304" s="14"/>
      <c r="K304" s="14"/>
      <c r="L304" s="16"/>
      <c r="M304" s="16"/>
      <c r="N304" s="17"/>
      <c r="O304" s="16"/>
      <c r="P304" s="14"/>
      <c r="Q304" s="15"/>
      <c r="R304" s="14"/>
      <c r="S304" s="18"/>
      <c r="T304" s="15"/>
      <c r="U304" s="14"/>
      <c r="V304" s="18"/>
      <c r="W304" s="14"/>
    </row>
    <row r="305" customFormat="false" ht="15" hidden="false" customHeight="false" outlineLevel="0" collapsed="false">
      <c r="A305" s="14"/>
      <c r="B305" s="14"/>
      <c r="C305" s="14"/>
      <c r="D305" s="14"/>
      <c r="E305" s="14"/>
      <c r="F305" s="15"/>
      <c r="G305" s="14"/>
      <c r="H305" s="14"/>
      <c r="I305" s="14"/>
      <c r="J305" s="14"/>
      <c r="K305" s="14"/>
      <c r="L305" s="16"/>
      <c r="M305" s="16"/>
      <c r="N305" s="17"/>
      <c r="O305" s="16"/>
      <c r="P305" s="14"/>
      <c r="Q305" s="15"/>
      <c r="R305" s="14"/>
      <c r="S305" s="18"/>
      <c r="T305" s="15"/>
      <c r="U305" s="14"/>
      <c r="V305" s="18"/>
      <c r="W305" s="14"/>
    </row>
    <row r="306" customFormat="false" ht="15" hidden="false" customHeight="false" outlineLevel="0" collapsed="false">
      <c r="A306" s="14"/>
      <c r="B306" s="14"/>
      <c r="C306" s="14"/>
      <c r="D306" s="14"/>
      <c r="E306" s="14"/>
      <c r="F306" s="15"/>
      <c r="G306" s="14"/>
      <c r="H306" s="14"/>
      <c r="I306" s="14"/>
      <c r="J306" s="14"/>
      <c r="K306" s="14"/>
      <c r="L306" s="16"/>
      <c r="M306" s="16"/>
      <c r="N306" s="17"/>
      <c r="O306" s="16"/>
      <c r="P306" s="14"/>
      <c r="Q306" s="15"/>
      <c r="R306" s="14"/>
      <c r="S306" s="18"/>
      <c r="T306" s="15"/>
      <c r="U306" s="14"/>
      <c r="V306" s="18"/>
      <c r="W306" s="14"/>
    </row>
    <row r="307" customFormat="false" ht="15" hidden="false" customHeight="false" outlineLevel="0" collapsed="false">
      <c r="A307" s="14"/>
      <c r="B307" s="14"/>
      <c r="C307" s="14"/>
      <c r="D307" s="14"/>
      <c r="E307" s="14"/>
      <c r="F307" s="15"/>
      <c r="G307" s="14"/>
      <c r="H307" s="14"/>
      <c r="I307" s="14"/>
      <c r="J307" s="14"/>
      <c r="K307" s="14"/>
      <c r="L307" s="16"/>
      <c r="M307" s="16"/>
      <c r="N307" s="17"/>
      <c r="O307" s="16"/>
      <c r="P307" s="14"/>
      <c r="Q307" s="15"/>
      <c r="R307" s="14"/>
      <c r="S307" s="18"/>
      <c r="T307" s="15"/>
      <c r="U307" s="14"/>
      <c r="V307" s="18"/>
      <c r="W307" s="14"/>
    </row>
    <row r="308" customFormat="false" ht="15" hidden="false" customHeight="false" outlineLevel="0" collapsed="false">
      <c r="A308" s="14"/>
      <c r="B308" s="14"/>
      <c r="C308" s="14"/>
      <c r="D308" s="14"/>
      <c r="E308" s="14"/>
      <c r="F308" s="15"/>
      <c r="G308" s="14"/>
      <c r="H308" s="14"/>
      <c r="I308" s="14"/>
      <c r="J308" s="14"/>
      <c r="K308" s="14"/>
      <c r="L308" s="16"/>
      <c r="M308" s="16"/>
      <c r="N308" s="17"/>
      <c r="O308" s="16"/>
      <c r="P308" s="14"/>
      <c r="Q308" s="15"/>
      <c r="R308" s="14"/>
      <c r="S308" s="18"/>
      <c r="T308" s="15"/>
      <c r="U308" s="14"/>
      <c r="V308" s="18"/>
      <c r="W308" s="14"/>
    </row>
    <row r="309" customFormat="false" ht="15" hidden="false" customHeight="false" outlineLevel="0" collapsed="false">
      <c r="A309" s="14"/>
      <c r="B309" s="14"/>
      <c r="C309" s="14"/>
      <c r="D309" s="14"/>
      <c r="E309" s="14"/>
      <c r="F309" s="15"/>
      <c r="G309" s="14"/>
      <c r="H309" s="14"/>
      <c r="I309" s="14"/>
      <c r="J309" s="14"/>
      <c r="K309" s="14"/>
      <c r="L309" s="16"/>
      <c r="M309" s="16"/>
      <c r="N309" s="17"/>
      <c r="O309" s="16"/>
      <c r="P309" s="14"/>
      <c r="Q309" s="15"/>
      <c r="R309" s="14"/>
      <c r="S309" s="18"/>
      <c r="T309" s="15"/>
      <c r="U309" s="14"/>
      <c r="V309" s="18"/>
      <c r="W309" s="14"/>
    </row>
    <row r="310" customFormat="false" ht="15" hidden="false" customHeight="false" outlineLevel="0" collapsed="false">
      <c r="A310" s="14"/>
      <c r="B310" s="14"/>
      <c r="C310" s="14"/>
      <c r="D310" s="14"/>
      <c r="E310" s="14"/>
      <c r="F310" s="15"/>
      <c r="G310" s="14"/>
      <c r="H310" s="14"/>
      <c r="I310" s="14"/>
      <c r="J310" s="14"/>
      <c r="K310" s="14"/>
      <c r="L310" s="16"/>
      <c r="M310" s="16"/>
      <c r="N310" s="17"/>
      <c r="O310" s="16"/>
      <c r="P310" s="14"/>
      <c r="Q310" s="15"/>
      <c r="R310" s="14"/>
      <c r="S310" s="18"/>
      <c r="T310" s="15"/>
      <c r="U310" s="14"/>
      <c r="V310" s="18"/>
      <c r="W310" s="14"/>
    </row>
    <row r="311" customFormat="false" ht="15" hidden="false" customHeight="false" outlineLevel="0" collapsed="false">
      <c r="A311" s="14"/>
      <c r="B311" s="14"/>
      <c r="C311" s="14"/>
      <c r="D311" s="14"/>
      <c r="E311" s="14"/>
      <c r="F311" s="15"/>
      <c r="G311" s="14"/>
      <c r="H311" s="14"/>
      <c r="I311" s="14"/>
      <c r="J311" s="14"/>
      <c r="K311" s="14"/>
      <c r="L311" s="16"/>
      <c r="M311" s="16"/>
      <c r="N311" s="17"/>
      <c r="O311" s="16"/>
      <c r="P311" s="14"/>
      <c r="Q311" s="15"/>
      <c r="R311" s="14"/>
      <c r="S311" s="18"/>
      <c r="T311" s="15"/>
      <c r="U311" s="14"/>
      <c r="V311" s="18"/>
      <c r="W311" s="14"/>
    </row>
    <row r="312" customFormat="false" ht="15" hidden="false" customHeight="false" outlineLevel="0" collapsed="false">
      <c r="A312" s="14"/>
      <c r="B312" s="14"/>
      <c r="C312" s="14"/>
      <c r="D312" s="14"/>
      <c r="E312" s="14"/>
      <c r="F312" s="15"/>
      <c r="G312" s="14"/>
      <c r="H312" s="14"/>
      <c r="I312" s="14"/>
      <c r="J312" s="14"/>
      <c r="K312" s="14"/>
      <c r="L312" s="16"/>
      <c r="M312" s="16"/>
      <c r="N312" s="17"/>
      <c r="O312" s="16"/>
      <c r="P312" s="14"/>
      <c r="Q312" s="15"/>
      <c r="R312" s="14"/>
      <c r="S312" s="18"/>
      <c r="T312" s="15"/>
      <c r="U312" s="14"/>
      <c r="V312" s="18"/>
      <c r="W312" s="14"/>
    </row>
    <row r="313" customFormat="false" ht="15" hidden="false" customHeight="false" outlineLevel="0" collapsed="false">
      <c r="A313" s="14"/>
      <c r="B313" s="14"/>
      <c r="C313" s="14"/>
      <c r="D313" s="14"/>
      <c r="E313" s="14"/>
      <c r="F313" s="15"/>
      <c r="G313" s="14"/>
      <c r="H313" s="14"/>
      <c r="I313" s="14"/>
      <c r="J313" s="14"/>
      <c r="K313" s="14"/>
      <c r="L313" s="16"/>
      <c r="M313" s="16"/>
      <c r="N313" s="17"/>
      <c r="O313" s="16"/>
      <c r="P313" s="14"/>
      <c r="Q313" s="15"/>
      <c r="R313" s="14"/>
      <c r="S313" s="18"/>
      <c r="T313" s="15"/>
      <c r="U313" s="14"/>
      <c r="V313" s="18"/>
      <c r="W313" s="14"/>
    </row>
    <row r="314" customFormat="false" ht="15" hidden="false" customHeight="false" outlineLevel="0" collapsed="false">
      <c r="A314" s="14"/>
      <c r="B314" s="14"/>
      <c r="C314" s="14"/>
      <c r="D314" s="14"/>
      <c r="E314" s="14"/>
      <c r="F314" s="15"/>
      <c r="G314" s="14"/>
      <c r="H314" s="14"/>
      <c r="I314" s="14"/>
      <c r="J314" s="14"/>
      <c r="K314" s="14"/>
      <c r="L314" s="16"/>
      <c r="M314" s="16"/>
      <c r="N314" s="17"/>
      <c r="O314" s="16"/>
      <c r="P314" s="14"/>
      <c r="Q314" s="15"/>
      <c r="R314" s="14"/>
      <c r="S314" s="18"/>
      <c r="T314" s="15"/>
      <c r="U314" s="14"/>
      <c r="V314" s="18"/>
      <c r="W314" s="14"/>
    </row>
    <row r="315" customFormat="false" ht="15" hidden="false" customHeight="false" outlineLevel="0" collapsed="false">
      <c r="A315" s="14"/>
      <c r="B315" s="14"/>
      <c r="C315" s="14"/>
      <c r="D315" s="14"/>
      <c r="E315" s="14"/>
      <c r="F315" s="15"/>
      <c r="G315" s="14"/>
      <c r="H315" s="14"/>
      <c r="I315" s="14"/>
      <c r="J315" s="14"/>
      <c r="K315" s="14"/>
      <c r="L315" s="16"/>
      <c r="M315" s="16"/>
      <c r="N315" s="17"/>
      <c r="O315" s="16"/>
      <c r="P315" s="14"/>
      <c r="Q315" s="15"/>
      <c r="R315" s="14"/>
      <c r="S315" s="18"/>
      <c r="T315" s="15"/>
      <c r="U315" s="14"/>
      <c r="V315" s="18"/>
      <c r="W315" s="14"/>
    </row>
    <row r="316" customFormat="false" ht="15" hidden="false" customHeight="false" outlineLevel="0" collapsed="false">
      <c r="A316" s="14"/>
      <c r="B316" s="14"/>
      <c r="C316" s="14"/>
      <c r="D316" s="14"/>
      <c r="E316" s="14"/>
      <c r="F316" s="15"/>
      <c r="G316" s="14"/>
      <c r="H316" s="14"/>
      <c r="I316" s="14"/>
      <c r="J316" s="14"/>
      <c r="K316" s="14"/>
      <c r="L316" s="16"/>
      <c r="M316" s="16"/>
      <c r="N316" s="17"/>
      <c r="O316" s="16"/>
      <c r="P316" s="14"/>
      <c r="Q316" s="15"/>
      <c r="R316" s="14"/>
      <c r="S316" s="18"/>
      <c r="T316" s="15"/>
      <c r="U316" s="14"/>
      <c r="V316" s="18"/>
      <c r="W316" s="14"/>
    </row>
    <row r="317" customFormat="false" ht="15" hidden="false" customHeight="false" outlineLevel="0" collapsed="false">
      <c r="A317" s="14"/>
      <c r="B317" s="14"/>
      <c r="C317" s="14"/>
      <c r="D317" s="14"/>
      <c r="E317" s="14"/>
      <c r="F317" s="15"/>
      <c r="G317" s="14"/>
      <c r="H317" s="14"/>
      <c r="I317" s="14"/>
      <c r="J317" s="14"/>
      <c r="K317" s="14"/>
      <c r="L317" s="16"/>
      <c r="M317" s="16"/>
      <c r="N317" s="17"/>
      <c r="O317" s="16"/>
      <c r="P317" s="14"/>
      <c r="Q317" s="15"/>
      <c r="R317" s="14"/>
      <c r="S317" s="18"/>
      <c r="T317" s="15"/>
      <c r="U317" s="14"/>
      <c r="V317" s="18"/>
      <c r="W317" s="14"/>
    </row>
    <row r="318" customFormat="false" ht="15" hidden="false" customHeight="false" outlineLevel="0" collapsed="false">
      <c r="A318" s="14"/>
      <c r="B318" s="14"/>
      <c r="C318" s="14"/>
      <c r="D318" s="14"/>
      <c r="E318" s="14"/>
      <c r="F318" s="15"/>
      <c r="G318" s="14"/>
      <c r="H318" s="14"/>
      <c r="I318" s="14"/>
      <c r="J318" s="14"/>
      <c r="K318" s="14"/>
      <c r="L318" s="16"/>
      <c r="M318" s="16"/>
      <c r="N318" s="17"/>
      <c r="O318" s="16"/>
      <c r="P318" s="14"/>
      <c r="Q318" s="15"/>
      <c r="R318" s="14"/>
      <c r="S318" s="18"/>
      <c r="T318" s="15"/>
      <c r="U318" s="14"/>
      <c r="V318" s="18"/>
      <c r="W318" s="14"/>
    </row>
    <row r="319" customFormat="false" ht="15" hidden="false" customHeight="false" outlineLevel="0" collapsed="false">
      <c r="A319" s="14"/>
      <c r="B319" s="14"/>
      <c r="C319" s="14"/>
      <c r="D319" s="14"/>
      <c r="E319" s="14"/>
      <c r="F319" s="15"/>
      <c r="G319" s="14"/>
      <c r="H319" s="14"/>
      <c r="I319" s="14"/>
      <c r="J319" s="14"/>
      <c r="K319" s="14"/>
      <c r="L319" s="16"/>
      <c r="M319" s="16"/>
      <c r="N319" s="17"/>
      <c r="O319" s="16"/>
      <c r="P319" s="14"/>
      <c r="Q319" s="15"/>
      <c r="R319" s="14"/>
      <c r="S319" s="18"/>
      <c r="T319" s="15"/>
      <c r="U319" s="14"/>
      <c r="V319" s="18"/>
      <c r="W319" s="14"/>
    </row>
    <row r="320" customFormat="false" ht="15" hidden="false" customHeight="false" outlineLevel="0" collapsed="false">
      <c r="A320" s="14"/>
      <c r="B320" s="14"/>
      <c r="C320" s="14"/>
      <c r="D320" s="14"/>
      <c r="E320" s="14"/>
      <c r="F320" s="15"/>
      <c r="G320" s="14"/>
      <c r="H320" s="14"/>
      <c r="I320" s="14"/>
      <c r="J320" s="14"/>
      <c r="K320" s="14"/>
      <c r="L320" s="16"/>
      <c r="M320" s="16"/>
      <c r="N320" s="17"/>
      <c r="O320" s="16"/>
      <c r="P320" s="14"/>
      <c r="Q320" s="15"/>
      <c r="R320" s="14"/>
      <c r="S320" s="18"/>
      <c r="T320" s="15"/>
      <c r="U320" s="14"/>
      <c r="V320" s="18"/>
      <c r="W320" s="14"/>
    </row>
    <row r="321" customFormat="false" ht="15" hidden="false" customHeight="false" outlineLevel="0" collapsed="false">
      <c r="A321" s="14"/>
      <c r="B321" s="14"/>
      <c r="C321" s="14"/>
      <c r="D321" s="14"/>
      <c r="E321" s="14"/>
      <c r="F321" s="15"/>
      <c r="G321" s="14"/>
      <c r="H321" s="14"/>
      <c r="I321" s="14"/>
      <c r="J321" s="14"/>
      <c r="K321" s="14"/>
      <c r="L321" s="16"/>
      <c r="M321" s="16"/>
      <c r="N321" s="17"/>
      <c r="O321" s="16"/>
      <c r="P321" s="14"/>
      <c r="Q321" s="15"/>
      <c r="R321" s="14"/>
      <c r="S321" s="18"/>
      <c r="T321" s="15"/>
      <c r="U321" s="14"/>
      <c r="V321" s="18"/>
      <c r="W321" s="14"/>
    </row>
    <row r="322" customFormat="false" ht="15" hidden="false" customHeight="false" outlineLevel="0" collapsed="false">
      <c r="A322" s="14"/>
      <c r="B322" s="14"/>
      <c r="C322" s="14"/>
      <c r="D322" s="14"/>
      <c r="E322" s="14"/>
      <c r="F322" s="15"/>
      <c r="G322" s="14"/>
      <c r="H322" s="14"/>
      <c r="I322" s="14"/>
      <c r="J322" s="14"/>
      <c r="K322" s="14"/>
      <c r="L322" s="16"/>
      <c r="M322" s="16"/>
      <c r="N322" s="17"/>
      <c r="O322" s="16"/>
      <c r="P322" s="14"/>
      <c r="Q322" s="15"/>
      <c r="R322" s="14"/>
      <c r="S322" s="18"/>
      <c r="T322" s="15"/>
      <c r="U322" s="14"/>
      <c r="V322" s="18"/>
      <c r="W322" s="14"/>
    </row>
    <row r="323" customFormat="false" ht="15" hidden="false" customHeight="false" outlineLevel="0" collapsed="false">
      <c r="A323" s="14"/>
      <c r="B323" s="14"/>
      <c r="C323" s="14"/>
      <c r="D323" s="14"/>
      <c r="E323" s="14"/>
      <c r="F323" s="15"/>
      <c r="G323" s="14"/>
      <c r="H323" s="14"/>
      <c r="I323" s="14"/>
      <c r="J323" s="14"/>
      <c r="K323" s="14"/>
      <c r="L323" s="16"/>
      <c r="M323" s="16"/>
      <c r="N323" s="17"/>
      <c r="O323" s="16"/>
      <c r="P323" s="14"/>
      <c r="Q323" s="15"/>
      <c r="R323" s="14"/>
      <c r="S323" s="18"/>
      <c r="T323" s="15"/>
      <c r="U323" s="14"/>
      <c r="V323" s="18"/>
      <c r="W323" s="14"/>
    </row>
    <row r="324" customFormat="false" ht="15" hidden="false" customHeight="false" outlineLevel="0" collapsed="false">
      <c r="A324" s="14"/>
      <c r="B324" s="14"/>
      <c r="C324" s="14"/>
      <c r="D324" s="14"/>
      <c r="E324" s="14"/>
      <c r="F324" s="15"/>
      <c r="G324" s="14"/>
      <c r="H324" s="14"/>
      <c r="I324" s="14"/>
      <c r="J324" s="14"/>
      <c r="K324" s="14"/>
      <c r="L324" s="16"/>
      <c r="M324" s="16"/>
      <c r="N324" s="17"/>
      <c r="O324" s="16"/>
      <c r="P324" s="14"/>
      <c r="Q324" s="15"/>
      <c r="R324" s="14"/>
      <c r="S324" s="18"/>
      <c r="T324" s="15"/>
      <c r="U324" s="14"/>
      <c r="V324" s="18"/>
      <c r="W324" s="14"/>
    </row>
    <row r="325" customFormat="false" ht="15" hidden="false" customHeight="false" outlineLevel="0" collapsed="false">
      <c r="A325" s="14"/>
      <c r="B325" s="14"/>
      <c r="C325" s="14"/>
      <c r="D325" s="14"/>
      <c r="E325" s="14"/>
      <c r="F325" s="15"/>
      <c r="G325" s="14"/>
      <c r="H325" s="14"/>
      <c r="I325" s="14"/>
      <c r="J325" s="14"/>
      <c r="K325" s="14"/>
      <c r="L325" s="16"/>
      <c r="M325" s="16"/>
      <c r="N325" s="17"/>
      <c r="O325" s="16"/>
      <c r="P325" s="14"/>
      <c r="Q325" s="15"/>
      <c r="R325" s="14"/>
      <c r="S325" s="18"/>
      <c r="T325" s="15"/>
      <c r="U325" s="14"/>
      <c r="V325" s="18"/>
      <c r="W325" s="14"/>
    </row>
    <row r="326" customFormat="false" ht="15" hidden="false" customHeight="false" outlineLevel="0" collapsed="false">
      <c r="A326" s="14"/>
      <c r="B326" s="14"/>
      <c r="C326" s="14"/>
      <c r="D326" s="14"/>
      <c r="E326" s="14"/>
      <c r="F326" s="15"/>
      <c r="G326" s="14"/>
      <c r="H326" s="14"/>
      <c r="I326" s="14"/>
      <c r="J326" s="14"/>
      <c r="K326" s="14"/>
      <c r="L326" s="16"/>
      <c r="M326" s="16"/>
      <c r="N326" s="17"/>
      <c r="O326" s="16"/>
      <c r="P326" s="14"/>
      <c r="Q326" s="15"/>
      <c r="R326" s="14"/>
      <c r="S326" s="18"/>
      <c r="T326" s="15"/>
      <c r="U326" s="14"/>
      <c r="V326" s="18"/>
      <c r="W326" s="14"/>
    </row>
    <row r="327" customFormat="false" ht="15" hidden="false" customHeight="false" outlineLevel="0" collapsed="false">
      <c r="A327" s="14"/>
      <c r="B327" s="14"/>
      <c r="C327" s="14"/>
      <c r="D327" s="14"/>
      <c r="E327" s="14"/>
      <c r="F327" s="15"/>
      <c r="G327" s="14"/>
      <c r="H327" s="14"/>
      <c r="I327" s="14"/>
      <c r="J327" s="14"/>
      <c r="K327" s="14"/>
      <c r="L327" s="16"/>
      <c r="M327" s="16"/>
      <c r="N327" s="17"/>
      <c r="O327" s="16"/>
      <c r="P327" s="14"/>
      <c r="Q327" s="15"/>
      <c r="R327" s="14"/>
      <c r="S327" s="18"/>
      <c r="T327" s="15"/>
      <c r="U327" s="14"/>
      <c r="V327" s="18"/>
      <c r="W327" s="14"/>
    </row>
    <row r="328" customFormat="false" ht="15" hidden="false" customHeight="false" outlineLevel="0" collapsed="false">
      <c r="A328" s="14"/>
      <c r="B328" s="14"/>
      <c r="C328" s="14"/>
      <c r="D328" s="14"/>
      <c r="E328" s="14"/>
      <c r="F328" s="15"/>
      <c r="G328" s="14"/>
      <c r="H328" s="14"/>
      <c r="I328" s="14"/>
      <c r="J328" s="14"/>
      <c r="K328" s="14"/>
      <c r="L328" s="16"/>
      <c r="M328" s="16"/>
      <c r="N328" s="17"/>
      <c r="O328" s="16"/>
      <c r="P328" s="14"/>
      <c r="Q328" s="15"/>
      <c r="R328" s="14"/>
      <c r="S328" s="18"/>
      <c r="T328" s="15"/>
      <c r="U328" s="14"/>
      <c r="V328" s="18"/>
      <c r="W328" s="14"/>
    </row>
    <row r="329" customFormat="false" ht="15" hidden="false" customHeight="false" outlineLevel="0" collapsed="false">
      <c r="A329" s="14"/>
      <c r="B329" s="14"/>
      <c r="C329" s="14"/>
      <c r="D329" s="14"/>
      <c r="E329" s="14"/>
      <c r="F329" s="15"/>
      <c r="G329" s="14"/>
      <c r="H329" s="14"/>
      <c r="I329" s="14"/>
      <c r="J329" s="14"/>
      <c r="K329" s="14"/>
      <c r="L329" s="16"/>
      <c r="M329" s="16"/>
      <c r="N329" s="17"/>
      <c r="O329" s="16"/>
      <c r="P329" s="14"/>
      <c r="Q329" s="15"/>
      <c r="R329" s="14"/>
      <c r="S329" s="18"/>
      <c r="T329" s="15"/>
      <c r="U329" s="14"/>
      <c r="V329" s="18"/>
      <c r="W329" s="14"/>
    </row>
    <row r="330" customFormat="false" ht="15" hidden="false" customHeight="false" outlineLevel="0" collapsed="false">
      <c r="A330" s="14"/>
      <c r="B330" s="14"/>
      <c r="C330" s="14"/>
      <c r="D330" s="14"/>
      <c r="E330" s="14"/>
      <c r="F330" s="15"/>
      <c r="G330" s="14"/>
      <c r="H330" s="14"/>
      <c r="I330" s="14"/>
      <c r="J330" s="14"/>
      <c r="K330" s="14"/>
      <c r="L330" s="16"/>
      <c r="M330" s="16"/>
      <c r="N330" s="17"/>
      <c r="O330" s="16"/>
      <c r="P330" s="14"/>
      <c r="Q330" s="15"/>
      <c r="R330" s="14"/>
      <c r="S330" s="18"/>
      <c r="T330" s="15"/>
      <c r="U330" s="14"/>
      <c r="V330" s="18"/>
      <c r="W330" s="14"/>
    </row>
    <row r="331" customFormat="false" ht="15" hidden="false" customHeight="false" outlineLevel="0" collapsed="false">
      <c r="A331" s="14"/>
      <c r="B331" s="14"/>
      <c r="C331" s="14"/>
      <c r="D331" s="14"/>
      <c r="E331" s="14"/>
      <c r="F331" s="15"/>
      <c r="G331" s="14"/>
      <c r="H331" s="14"/>
      <c r="I331" s="14"/>
      <c r="J331" s="14"/>
      <c r="K331" s="14"/>
      <c r="L331" s="16"/>
      <c r="M331" s="16"/>
      <c r="N331" s="17"/>
      <c r="O331" s="16"/>
      <c r="P331" s="14"/>
      <c r="Q331" s="15"/>
      <c r="R331" s="14"/>
      <c r="S331" s="18"/>
      <c r="T331" s="15"/>
      <c r="U331" s="14"/>
      <c r="V331" s="18"/>
      <c r="W331" s="14"/>
    </row>
    <row r="332" customFormat="false" ht="15" hidden="false" customHeight="false" outlineLevel="0" collapsed="false">
      <c r="A332" s="14"/>
      <c r="B332" s="14"/>
      <c r="C332" s="14"/>
      <c r="D332" s="14"/>
      <c r="E332" s="14"/>
      <c r="F332" s="15"/>
      <c r="G332" s="14"/>
      <c r="H332" s="14"/>
      <c r="I332" s="14"/>
      <c r="J332" s="14"/>
      <c r="K332" s="14"/>
      <c r="L332" s="16"/>
      <c r="M332" s="16"/>
      <c r="N332" s="17"/>
      <c r="O332" s="16"/>
      <c r="P332" s="14"/>
      <c r="Q332" s="15"/>
      <c r="R332" s="14"/>
      <c r="S332" s="18"/>
      <c r="T332" s="15"/>
      <c r="U332" s="14"/>
      <c r="V332" s="18"/>
      <c r="W332" s="14"/>
    </row>
    <row r="333" customFormat="false" ht="15" hidden="false" customHeight="false" outlineLevel="0" collapsed="false">
      <c r="A333" s="14"/>
      <c r="B333" s="14"/>
      <c r="C333" s="14"/>
      <c r="D333" s="14"/>
      <c r="E333" s="14"/>
      <c r="F333" s="15"/>
      <c r="G333" s="14"/>
      <c r="H333" s="14"/>
      <c r="I333" s="14"/>
      <c r="J333" s="14"/>
      <c r="K333" s="14"/>
      <c r="L333" s="16"/>
      <c r="M333" s="16"/>
      <c r="N333" s="17"/>
      <c r="O333" s="16"/>
      <c r="P333" s="14"/>
      <c r="Q333" s="15"/>
      <c r="R333" s="14"/>
      <c r="S333" s="18"/>
      <c r="T333" s="15"/>
      <c r="U333" s="14"/>
      <c r="V333" s="18"/>
      <c r="W333" s="14"/>
    </row>
    <row r="334" customFormat="false" ht="15" hidden="false" customHeight="false" outlineLevel="0" collapsed="false">
      <c r="A334" s="14"/>
      <c r="B334" s="14"/>
      <c r="C334" s="14"/>
      <c r="D334" s="14"/>
      <c r="E334" s="14"/>
      <c r="F334" s="15"/>
      <c r="G334" s="14"/>
      <c r="H334" s="14"/>
      <c r="I334" s="14"/>
      <c r="J334" s="14"/>
      <c r="K334" s="14"/>
      <c r="L334" s="16"/>
      <c r="M334" s="16"/>
      <c r="N334" s="17"/>
      <c r="O334" s="16"/>
      <c r="P334" s="14"/>
      <c r="Q334" s="15"/>
      <c r="R334" s="14"/>
      <c r="S334" s="18"/>
      <c r="T334" s="15"/>
      <c r="U334" s="14"/>
      <c r="V334" s="18"/>
      <c r="W334" s="14"/>
    </row>
    <row r="335" customFormat="false" ht="15" hidden="false" customHeight="false" outlineLevel="0" collapsed="false">
      <c r="A335" s="14"/>
      <c r="B335" s="14"/>
      <c r="C335" s="14"/>
      <c r="D335" s="14"/>
      <c r="E335" s="14"/>
      <c r="F335" s="15"/>
      <c r="G335" s="14"/>
      <c r="H335" s="14"/>
      <c r="I335" s="14"/>
      <c r="J335" s="14"/>
      <c r="K335" s="14"/>
      <c r="L335" s="16"/>
      <c r="M335" s="16"/>
      <c r="N335" s="17"/>
      <c r="O335" s="16"/>
      <c r="P335" s="14"/>
      <c r="Q335" s="15"/>
      <c r="R335" s="14"/>
      <c r="S335" s="18"/>
      <c r="T335" s="15"/>
      <c r="U335" s="14"/>
      <c r="V335" s="18"/>
      <c r="W335" s="14"/>
    </row>
    <row r="336" customFormat="false" ht="15" hidden="false" customHeight="false" outlineLevel="0" collapsed="false">
      <c r="A336" s="14"/>
      <c r="B336" s="14"/>
      <c r="C336" s="14"/>
      <c r="D336" s="14"/>
      <c r="E336" s="14"/>
      <c r="F336" s="15"/>
      <c r="G336" s="14"/>
      <c r="H336" s="14"/>
      <c r="I336" s="14"/>
      <c r="J336" s="14"/>
      <c r="K336" s="14"/>
      <c r="L336" s="16"/>
      <c r="M336" s="16"/>
      <c r="N336" s="17"/>
      <c r="O336" s="16"/>
      <c r="P336" s="14"/>
      <c r="Q336" s="15"/>
      <c r="R336" s="14"/>
      <c r="S336" s="18"/>
      <c r="T336" s="15"/>
      <c r="U336" s="14"/>
      <c r="V336" s="18"/>
      <c r="W336" s="14"/>
    </row>
    <row r="337" customFormat="false" ht="15" hidden="false" customHeight="false" outlineLevel="0" collapsed="false">
      <c r="A337" s="14"/>
      <c r="B337" s="14"/>
      <c r="C337" s="14"/>
      <c r="D337" s="14"/>
      <c r="E337" s="14"/>
      <c r="F337" s="15"/>
      <c r="G337" s="14"/>
      <c r="H337" s="14"/>
      <c r="I337" s="14"/>
      <c r="J337" s="14"/>
      <c r="K337" s="14"/>
      <c r="L337" s="16"/>
      <c r="M337" s="16"/>
      <c r="N337" s="17"/>
      <c r="O337" s="16"/>
      <c r="P337" s="14"/>
      <c r="Q337" s="15"/>
      <c r="R337" s="14"/>
      <c r="S337" s="18"/>
      <c r="T337" s="15"/>
      <c r="U337" s="14"/>
      <c r="V337" s="18"/>
      <c r="W337" s="14"/>
    </row>
    <row r="338" customFormat="false" ht="15" hidden="false" customHeight="false" outlineLevel="0" collapsed="false">
      <c r="A338" s="14"/>
      <c r="B338" s="14"/>
      <c r="C338" s="14"/>
      <c r="D338" s="14"/>
      <c r="E338" s="14"/>
      <c r="F338" s="15"/>
      <c r="G338" s="14"/>
      <c r="H338" s="14"/>
      <c r="I338" s="14"/>
      <c r="J338" s="14"/>
      <c r="K338" s="14"/>
      <c r="L338" s="16"/>
      <c r="M338" s="16"/>
      <c r="N338" s="17"/>
      <c r="O338" s="16"/>
      <c r="P338" s="14"/>
      <c r="Q338" s="15"/>
      <c r="R338" s="14"/>
      <c r="S338" s="18"/>
      <c r="T338" s="15"/>
      <c r="U338" s="14"/>
      <c r="V338" s="18"/>
      <c r="W338" s="14"/>
    </row>
    <row r="339" customFormat="false" ht="15" hidden="false" customHeight="false" outlineLevel="0" collapsed="false">
      <c r="A339" s="14"/>
      <c r="B339" s="14"/>
      <c r="C339" s="14"/>
      <c r="D339" s="14"/>
      <c r="E339" s="14"/>
      <c r="F339" s="15"/>
      <c r="G339" s="14"/>
      <c r="H339" s="14"/>
      <c r="I339" s="14"/>
      <c r="J339" s="14"/>
      <c r="K339" s="14"/>
      <c r="L339" s="16"/>
      <c r="M339" s="16"/>
      <c r="N339" s="17"/>
      <c r="O339" s="16"/>
      <c r="P339" s="14"/>
      <c r="Q339" s="15"/>
      <c r="R339" s="14"/>
      <c r="S339" s="18"/>
      <c r="T339" s="15"/>
      <c r="U339" s="14"/>
      <c r="V339" s="18"/>
      <c r="W339" s="14"/>
    </row>
    <row r="340" customFormat="false" ht="15" hidden="false" customHeight="false" outlineLevel="0" collapsed="false">
      <c r="A340" s="14"/>
      <c r="B340" s="14"/>
      <c r="C340" s="14"/>
      <c r="D340" s="14"/>
      <c r="E340" s="14"/>
      <c r="F340" s="15"/>
      <c r="G340" s="14"/>
      <c r="H340" s="14"/>
      <c r="I340" s="14"/>
      <c r="J340" s="14"/>
      <c r="K340" s="14"/>
      <c r="L340" s="16"/>
      <c r="M340" s="16"/>
      <c r="N340" s="17"/>
      <c r="O340" s="16"/>
      <c r="P340" s="14"/>
      <c r="Q340" s="15"/>
      <c r="R340" s="14"/>
      <c r="S340" s="18"/>
      <c r="T340" s="15"/>
      <c r="U340" s="14"/>
      <c r="V340" s="18"/>
      <c r="W340" s="14"/>
    </row>
    <row r="341" customFormat="false" ht="15" hidden="false" customHeight="false" outlineLevel="0" collapsed="false">
      <c r="A341" s="14"/>
      <c r="B341" s="14"/>
      <c r="C341" s="14"/>
      <c r="D341" s="14"/>
      <c r="E341" s="14"/>
      <c r="F341" s="15"/>
      <c r="G341" s="14"/>
      <c r="H341" s="14"/>
      <c r="I341" s="14"/>
      <c r="J341" s="14"/>
      <c r="K341" s="14"/>
      <c r="L341" s="16"/>
      <c r="M341" s="16"/>
      <c r="N341" s="17"/>
      <c r="O341" s="16"/>
      <c r="P341" s="14"/>
      <c r="Q341" s="15"/>
      <c r="R341" s="14"/>
      <c r="S341" s="18"/>
      <c r="T341" s="15"/>
      <c r="U341" s="14"/>
      <c r="V341" s="18"/>
      <c r="W341" s="14"/>
    </row>
    <row r="342" customFormat="false" ht="15" hidden="false" customHeight="false" outlineLevel="0" collapsed="false">
      <c r="A342" s="14"/>
      <c r="B342" s="14"/>
      <c r="C342" s="14"/>
      <c r="D342" s="14"/>
      <c r="E342" s="14"/>
      <c r="F342" s="15"/>
      <c r="G342" s="14"/>
      <c r="H342" s="14"/>
      <c r="I342" s="14"/>
      <c r="J342" s="14"/>
      <c r="K342" s="14"/>
      <c r="L342" s="16"/>
      <c r="M342" s="16"/>
      <c r="N342" s="17"/>
      <c r="O342" s="16"/>
      <c r="P342" s="14"/>
      <c r="Q342" s="15"/>
      <c r="R342" s="14"/>
      <c r="S342" s="18"/>
      <c r="T342" s="15"/>
      <c r="U342" s="14"/>
      <c r="V342" s="18"/>
      <c r="W342" s="14"/>
    </row>
    <row r="343" customFormat="false" ht="15" hidden="false" customHeight="false" outlineLevel="0" collapsed="false">
      <c r="A343" s="14"/>
      <c r="B343" s="14"/>
      <c r="C343" s="14"/>
      <c r="D343" s="14"/>
      <c r="E343" s="14"/>
      <c r="F343" s="15"/>
      <c r="G343" s="14"/>
      <c r="H343" s="14"/>
      <c r="I343" s="14"/>
      <c r="J343" s="14"/>
      <c r="K343" s="14"/>
      <c r="L343" s="16"/>
      <c r="M343" s="16"/>
      <c r="N343" s="17"/>
      <c r="O343" s="16"/>
      <c r="P343" s="14"/>
      <c r="Q343" s="15"/>
      <c r="R343" s="14"/>
      <c r="S343" s="18"/>
      <c r="T343" s="15"/>
      <c r="U343" s="14"/>
      <c r="V343" s="18"/>
      <c r="W343" s="14"/>
    </row>
    <row r="344" customFormat="false" ht="15" hidden="false" customHeight="false" outlineLevel="0" collapsed="false">
      <c r="A344" s="14"/>
      <c r="B344" s="14"/>
      <c r="C344" s="14"/>
      <c r="D344" s="14"/>
      <c r="E344" s="14"/>
      <c r="F344" s="15"/>
      <c r="G344" s="14"/>
      <c r="H344" s="14"/>
      <c r="I344" s="14"/>
      <c r="J344" s="14"/>
      <c r="K344" s="14"/>
      <c r="L344" s="16"/>
      <c r="M344" s="16"/>
      <c r="N344" s="17"/>
      <c r="O344" s="16"/>
      <c r="P344" s="14"/>
      <c r="Q344" s="15"/>
      <c r="R344" s="14"/>
      <c r="S344" s="18"/>
      <c r="T344" s="15"/>
      <c r="U344" s="14"/>
      <c r="V344" s="18"/>
      <c r="W344" s="14"/>
    </row>
    <row r="345" customFormat="false" ht="15" hidden="false" customHeight="false" outlineLevel="0" collapsed="false">
      <c r="A345" s="14"/>
      <c r="B345" s="14"/>
      <c r="C345" s="14"/>
      <c r="D345" s="14"/>
      <c r="E345" s="14"/>
      <c r="F345" s="15"/>
      <c r="G345" s="14"/>
      <c r="H345" s="14"/>
      <c r="I345" s="14"/>
      <c r="J345" s="14"/>
      <c r="K345" s="14"/>
      <c r="L345" s="16"/>
      <c r="M345" s="16"/>
      <c r="N345" s="17"/>
      <c r="O345" s="16"/>
      <c r="P345" s="14"/>
      <c r="Q345" s="15"/>
      <c r="R345" s="14"/>
      <c r="S345" s="18"/>
      <c r="T345" s="15"/>
      <c r="U345" s="14"/>
      <c r="V345" s="18"/>
      <c r="W345" s="14"/>
    </row>
    <row r="346" customFormat="false" ht="15" hidden="false" customHeight="false" outlineLevel="0" collapsed="false">
      <c r="A346" s="14"/>
      <c r="B346" s="14"/>
      <c r="C346" s="14"/>
      <c r="D346" s="14"/>
      <c r="E346" s="14"/>
      <c r="F346" s="15"/>
      <c r="G346" s="14"/>
      <c r="H346" s="14"/>
      <c r="I346" s="14"/>
      <c r="J346" s="14"/>
      <c r="K346" s="14"/>
      <c r="L346" s="16"/>
      <c r="M346" s="16"/>
      <c r="N346" s="17"/>
      <c r="O346" s="16"/>
      <c r="P346" s="14"/>
      <c r="Q346" s="15"/>
      <c r="R346" s="14"/>
      <c r="S346" s="18"/>
      <c r="T346" s="15"/>
      <c r="U346" s="14"/>
      <c r="V346" s="18"/>
      <c r="W346" s="14"/>
    </row>
    <row r="347" customFormat="false" ht="15" hidden="false" customHeight="false" outlineLevel="0" collapsed="false">
      <c r="A347" s="14"/>
      <c r="B347" s="14"/>
      <c r="C347" s="14"/>
      <c r="D347" s="14"/>
      <c r="E347" s="14"/>
      <c r="F347" s="15"/>
      <c r="G347" s="14"/>
      <c r="H347" s="14"/>
      <c r="I347" s="14"/>
      <c r="J347" s="14"/>
      <c r="K347" s="14"/>
      <c r="L347" s="16"/>
      <c r="M347" s="16"/>
      <c r="N347" s="17"/>
      <c r="O347" s="16"/>
      <c r="P347" s="14"/>
      <c r="Q347" s="15"/>
      <c r="R347" s="14"/>
      <c r="S347" s="18"/>
      <c r="T347" s="15"/>
      <c r="U347" s="14"/>
      <c r="V347" s="18"/>
      <c r="W347" s="14"/>
    </row>
    <row r="348" customFormat="false" ht="15" hidden="false" customHeight="false" outlineLevel="0" collapsed="false">
      <c r="A348" s="14"/>
      <c r="B348" s="14"/>
      <c r="C348" s="14"/>
      <c r="D348" s="14"/>
      <c r="E348" s="14"/>
      <c r="F348" s="15"/>
      <c r="G348" s="14"/>
      <c r="H348" s="14"/>
      <c r="I348" s="14"/>
      <c r="J348" s="14"/>
      <c r="K348" s="14"/>
      <c r="L348" s="16"/>
      <c r="M348" s="16"/>
      <c r="N348" s="17"/>
      <c r="O348" s="16"/>
      <c r="P348" s="14"/>
      <c r="Q348" s="15"/>
      <c r="R348" s="14"/>
      <c r="S348" s="18"/>
      <c r="T348" s="15"/>
      <c r="U348" s="14"/>
      <c r="V348" s="18"/>
      <c r="W348" s="14"/>
    </row>
    <row r="349" customFormat="false" ht="15" hidden="false" customHeight="false" outlineLevel="0" collapsed="false">
      <c r="A349" s="14"/>
      <c r="B349" s="14"/>
      <c r="C349" s="14"/>
      <c r="D349" s="14"/>
      <c r="E349" s="14"/>
      <c r="F349" s="15"/>
      <c r="G349" s="14"/>
      <c r="H349" s="14"/>
      <c r="I349" s="14"/>
      <c r="J349" s="14"/>
      <c r="K349" s="14"/>
      <c r="L349" s="16"/>
      <c r="M349" s="16"/>
      <c r="N349" s="17"/>
      <c r="O349" s="16"/>
      <c r="P349" s="14"/>
      <c r="Q349" s="15"/>
      <c r="R349" s="14"/>
      <c r="S349" s="18"/>
      <c r="T349" s="15"/>
      <c r="U349" s="14"/>
      <c r="V349" s="18"/>
      <c r="W349" s="14"/>
    </row>
    <row r="350" customFormat="false" ht="15" hidden="false" customHeight="false" outlineLevel="0" collapsed="false">
      <c r="A350" s="14"/>
      <c r="B350" s="14"/>
      <c r="C350" s="14"/>
      <c r="D350" s="14"/>
      <c r="E350" s="14"/>
      <c r="F350" s="15"/>
      <c r="G350" s="14"/>
      <c r="H350" s="14"/>
      <c r="I350" s="14"/>
      <c r="J350" s="14"/>
      <c r="K350" s="14"/>
      <c r="L350" s="16"/>
      <c r="M350" s="16"/>
      <c r="N350" s="17"/>
      <c r="O350" s="16"/>
      <c r="P350" s="14"/>
      <c r="Q350" s="15"/>
      <c r="R350" s="14"/>
      <c r="S350" s="18"/>
      <c r="T350" s="15"/>
      <c r="U350" s="14"/>
      <c r="V350" s="18"/>
      <c r="W350" s="14"/>
    </row>
    <row r="351" customFormat="false" ht="15" hidden="false" customHeight="false" outlineLevel="0" collapsed="false">
      <c r="A351" s="14"/>
      <c r="B351" s="14"/>
      <c r="C351" s="14"/>
      <c r="D351" s="14"/>
      <c r="E351" s="14"/>
      <c r="F351" s="15"/>
      <c r="G351" s="14"/>
      <c r="H351" s="14"/>
      <c r="I351" s="14"/>
      <c r="J351" s="14"/>
      <c r="K351" s="14"/>
      <c r="L351" s="16"/>
      <c r="M351" s="16"/>
      <c r="N351" s="17"/>
      <c r="O351" s="16"/>
      <c r="P351" s="14"/>
      <c r="Q351" s="15"/>
      <c r="R351" s="14"/>
      <c r="S351" s="18"/>
      <c r="T351" s="15"/>
      <c r="U351" s="14"/>
      <c r="V351" s="18"/>
      <c r="W351" s="14"/>
    </row>
    <row r="352" customFormat="false" ht="15" hidden="false" customHeight="false" outlineLevel="0" collapsed="false">
      <c r="A352" s="14"/>
      <c r="B352" s="14"/>
      <c r="C352" s="14"/>
      <c r="D352" s="14"/>
      <c r="E352" s="14"/>
      <c r="F352" s="15"/>
      <c r="G352" s="14"/>
      <c r="H352" s="14"/>
      <c r="I352" s="14"/>
      <c r="J352" s="14"/>
      <c r="K352" s="14"/>
      <c r="L352" s="16"/>
      <c r="M352" s="16"/>
      <c r="N352" s="17"/>
      <c r="O352" s="16"/>
      <c r="P352" s="14"/>
      <c r="Q352" s="15"/>
      <c r="R352" s="14"/>
      <c r="S352" s="18"/>
      <c r="T352" s="15"/>
      <c r="U352" s="14"/>
      <c r="V352" s="18"/>
      <c r="W352" s="14"/>
    </row>
    <row r="353" customFormat="false" ht="15" hidden="false" customHeight="false" outlineLevel="0" collapsed="false">
      <c r="A353" s="14"/>
      <c r="B353" s="14"/>
      <c r="C353" s="14"/>
      <c r="D353" s="14"/>
      <c r="E353" s="14"/>
      <c r="F353" s="15"/>
      <c r="G353" s="14"/>
      <c r="H353" s="14"/>
      <c r="I353" s="14"/>
      <c r="J353" s="14"/>
      <c r="K353" s="14"/>
      <c r="L353" s="16"/>
      <c r="M353" s="16"/>
      <c r="N353" s="17"/>
      <c r="O353" s="16"/>
      <c r="P353" s="14"/>
      <c r="Q353" s="15"/>
      <c r="R353" s="14"/>
      <c r="S353" s="18"/>
      <c r="T353" s="15"/>
      <c r="U353" s="14"/>
      <c r="V353" s="18"/>
      <c r="W353" s="14"/>
    </row>
    <row r="354" customFormat="false" ht="15" hidden="false" customHeight="false" outlineLevel="0" collapsed="false">
      <c r="A354" s="14"/>
      <c r="B354" s="14"/>
      <c r="C354" s="14"/>
      <c r="D354" s="14"/>
      <c r="E354" s="14"/>
      <c r="F354" s="15"/>
      <c r="G354" s="14"/>
      <c r="H354" s="14"/>
      <c r="I354" s="14"/>
      <c r="J354" s="14"/>
      <c r="K354" s="14"/>
      <c r="L354" s="16"/>
      <c r="M354" s="16"/>
      <c r="N354" s="17"/>
      <c r="O354" s="16"/>
      <c r="P354" s="14"/>
      <c r="Q354" s="15"/>
      <c r="R354" s="14"/>
      <c r="S354" s="18"/>
      <c r="T354" s="15"/>
      <c r="U354" s="14"/>
      <c r="V354" s="18"/>
      <c r="W354" s="14"/>
    </row>
    <row r="355" customFormat="false" ht="15" hidden="false" customHeight="false" outlineLevel="0" collapsed="false">
      <c r="A355" s="14"/>
      <c r="B355" s="14"/>
      <c r="C355" s="14"/>
      <c r="D355" s="14"/>
      <c r="E355" s="14"/>
      <c r="F355" s="15"/>
      <c r="G355" s="14"/>
      <c r="H355" s="14"/>
      <c r="I355" s="14"/>
      <c r="J355" s="14"/>
      <c r="K355" s="14"/>
      <c r="L355" s="16"/>
      <c r="M355" s="16"/>
      <c r="N355" s="17"/>
      <c r="O355" s="16"/>
      <c r="P355" s="14"/>
      <c r="Q355" s="15"/>
      <c r="R355" s="14"/>
      <c r="S355" s="18"/>
      <c r="T355" s="15"/>
      <c r="U355" s="14"/>
      <c r="V355" s="18"/>
      <c r="W355" s="14"/>
    </row>
    <row r="356" customFormat="false" ht="15" hidden="false" customHeight="false" outlineLevel="0" collapsed="false">
      <c r="A356" s="14"/>
      <c r="B356" s="14"/>
      <c r="C356" s="14"/>
      <c r="D356" s="14"/>
      <c r="E356" s="14"/>
      <c r="F356" s="15"/>
      <c r="G356" s="14"/>
      <c r="H356" s="14"/>
      <c r="I356" s="14"/>
      <c r="J356" s="14"/>
      <c r="K356" s="14"/>
      <c r="L356" s="16"/>
      <c r="M356" s="16"/>
      <c r="N356" s="17"/>
      <c r="O356" s="16"/>
      <c r="P356" s="14"/>
      <c r="Q356" s="15"/>
      <c r="R356" s="14"/>
      <c r="S356" s="18"/>
      <c r="T356" s="15"/>
      <c r="U356" s="14"/>
      <c r="V356" s="18"/>
      <c r="W356" s="14"/>
    </row>
    <row r="357" customFormat="false" ht="15" hidden="false" customHeight="false" outlineLevel="0" collapsed="false">
      <c r="A357" s="14"/>
      <c r="B357" s="14"/>
      <c r="C357" s="14"/>
      <c r="D357" s="14"/>
      <c r="E357" s="14"/>
      <c r="F357" s="15"/>
      <c r="G357" s="14"/>
      <c r="H357" s="14"/>
      <c r="I357" s="14"/>
      <c r="J357" s="14"/>
      <c r="K357" s="14"/>
      <c r="L357" s="16"/>
      <c r="M357" s="16"/>
      <c r="N357" s="17"/>
      <c r="O357" s="16"/>
      <c r="P357" s="14"/>
      <c r="Q357" s="15"/>
      <c r="R357" s="14"/>
      <c r="S357" s="18"/>
      <c r="T357" s="15"/>
      <c r="U357" s="14"/>
      <c r="V357" s="18"/>
      <c r="W357" s="14"/>
    </row>
    <row r="358" customFormat="false" ht="15" hidden="false" customHeight="false" outlineLevel="0" collapsed="false">
      <c r="A358" s="14"/>
      <c r="B358" s="14"/>
      <c r="C358" s="14"/>
      <c r="D358" s="14"/>
      <c r="E358" s="14"/>
      <c r="F358" s="15"/>
      <c r="G358" s="14"/>
      <c r="H358" s="14"/>
      <c r="I358" s="14"/>
      <c r="J358" s="14"/>
      <c r="K358" s="14"/>
      <c r="L358" s="16"/>
      <c r="M358" s="16"/>
      <c r="N358" s="17"/>
      <c r="O358" s="16"/>
      <c r="P358" s="14"/>
      <c r="Q358" s="15"/>
      <c r="R358" s="14"/>
      <c r="S358" s="18"/>
      <c r="T358" s="15"/>
      <c r="U358" s="14"/>
      <c r="V358" s="18"/>
      <c r="W358" s="14"/>
    </row>
    <row r="359" customFormat="false" ht="15" hidden="false" customHeight="false" outlineLevel="0" collapsed="false">
      <c r="A359" s="14"/>
      <c r="B359" s="14"/>
      <c r="C359" s="14"/>
      <c r="D359" s="14"/>
      <c r="E359" s="14"/>
      <c r="F359" s="15"/>
      <c r="G359" s="14"/>
      <c r="H359" s="14"/>
      <c r="I359" s="14"/>
      <c r="J359" s="14"/>
      <c r="K359" s="14"/>
      <c r="L359" s="16"/>
      <c r="M359" s="16"/>
      <c r="N359" s="17"/>
      <c r="O359" s="16"/>
      <c r="P359" s="14"/>
      <c r="Q359" s="15"/>
      <c r="R359" s="14"/>
      <c r="S359" s="18"/>
      <c r="T359" s="15"/>
      <c r="U359" s="14"/>
      <c r="V359" s="18"/>
      <c r="W359" s="14"/>
    </row>
    <row r="360" customFormat="false" ht="15" hidden="false" customHeight="false" outlineLevel="0" collapsed="false">
      <c r="A360" s="14"/>
      <c r="B360" s="14"/>
      <c r="C360" s="14"/>
      <c r="D360" s="14"/>
      <c r="E360" s="14"/>
      <c r="F360" s="15"/>
      <c r="G360" s="14"/>
      <c r="H360" s="14"/>
      <c r="I360" s="14"/>
      <c r="J360" s="14"/>
      <c r="K360" s="14"/>
      <c r="L360" s="16"/>
      <c r="M360" s="16"/>
      <c r="N360" s="17"/>
      <c r="O360" s="16"/>
      <c r="P360" s="14"/>
      <c r="Q360" s="15"/>
      <c r="R360" s="14"/>
      <c r="S360" s="18"/>
      <c r="T360" s="15"/>
      <c r="U360" s="14"/>
      <c r="V360" s="18"/>
      <c r="W360" s="14"/>
    </row>
    <row r="361" customFormat="false" ht="15" hidden="false" customHeight="false" outlineLevel="0" collapsed="false">
      <c r="A361" s="14"/>
      <c r="B361" s="14"/>
      <c r="C361" s="14"/>
      <c r="D361" s="14"/>
      <c r="E361" s="14"/>
      <c r="F361" s="15"/>
      <c r="G361" s="14"/>
      <c r="H361" s="14"/>
      <c r="I361" s="14"/>
      <c r="J361" s="14"/>
      <c r="K361" s="14"/>
      <c r="L361" s="16"/>
      <c r="M361" s="16"/>
      <c r="N361" s="17"/>
      <c r="O361" s="16"/>
      <c r="P361" s="14"/>
      <c r="Q361" s="15"/>
      <c r="R361" s="14"/>
      <c r="S361" s="18"/>
      <c r="T361" s="15"/>
      <c r="U361" s="14"/>
      <c r="V361" s="18"/>
      <c r="W361" s="14"/>
    </row>
    <row r="362" customFormat="false" ht="15" hidden="false" customHeight="false" outlineLevel="0" collapsed="false">
      <c r="A362" s="14"/>
      <c r="B362" s="14"/>
      <c r="C362" s="14"/>
      <c r="D362" s="14"/>
      <c r="E362" s="14"/>
      <c r="F362" s="15"/>
      <c r="G362" s="14"/>
      <c r="H362" s="14"/>
      <c r="I362" s="14"/>
      <c r="J362" s="14"/>
      <c r="K362" s="14"/>
      <c r="L362" s="16"/>
      <c r="M362" s="16"/>
      <c r="N362" s="17"/>
      <c r="O362" s="16"/>
      <c r="P362" s="14"/>
      <c r="Q362" s="15"/>
      <c r="R362" s="14"/>
      <c r="S362" s="18"/>
      <c r="T362" s="15"/>
      <c r="U362" s="14"/>
      <c r="V362" s="18"/>
      <c r="W362" s="14"/>
    </row>
    <row r="363" customFormat="false" ht="15" hidden="false" customHeight="false" outlineLevel="0" collapsed="false">
      <c r="A363" s="14"/>
      <c r="B363" s="14"/>
      <c r="C363" s="14"/>
      <c r="D363" s="14"/>
      <c r="E363" s="14"/>
      <c r="F363" s="15"/>
      <c r="G363" s="14"/>
      <c r="H363" s="14"/>
      <c r="I363" s="14"/>
      <c r="J363" s="14"/>
      <c r="K363" s="14"/>
      <c r="L363" s="16"/>
      <c r="M363" s="16"/>
      <c r="N363" s="17"/>
      <c r="O363" s="16"/>
      <c r="P363" s="14"/>
      <c r="Q363" s="15"/>
      <c r="R363" s="14"/>
      <c r="S363" s="18"/>
      <c r="T363" s="15"/>
      <c r="U363" s="14"/>
      <c r="V363" s="18"/>
      <c r="W363" s="14"/>
    </row>
    <row r="364" customFormat="false" ht="15" hidden="false" customHeight="false" outlineLevel="0" collapsed="false">
      <c r="A364" s="14"/>
      <c r="B364" s="14"/>
      <c r="C364" s="14"/>
      <c r="D364" s="14"/>
      <c r="E364" s="14"/>
      <c r="F364" s="15"/>
      <c r="G364" s="14"/>
      <c r="H364" s="14"/>
      <c r="I364" s="14"/>
      <c r="J364" s="14"/>
      <c r="K364" s="14"/>
      <c r="L364" s="16"/>
      <c r="M364" s="16"/>
      <c r="N364" s="17"/>
      <c r="O364" s="16"/>
      <c r="P364" s="14"/>
      <c r="Q364" s="15"/>
      <c r="R364" s="14"/>
      <c r="S364" s="18"/>
      <c r="T364" s="15"/>
      <c r="U364" s="14"/>
      <c r="V364" s="18"/>
      <c r="W364" s="14"/>
    </row>
    <row r="365" customFormat="false" ht="15" hidden="false" customHeight="false" outlineLevel="0" collapsed="false">
      <c r="A365" s="14"/>
      <c r="B365" s="14"/>
      <c r="C365" s="14"/>
      <c r="D365" s="14"/>
      <c r="E365" s="14"/>
      <c r="F365" s="15"/>
      <c r="G365" s="14"/>
      <c r="H365" s="14"/>
      <c r="I365" s="14"/>
      <c r="J365" s="14"/>
      <c r="K365" s="14"/>
      <c r="L365" s="16"/>
      <c r="M365" s="16"/>
      <c r="N365" s="17"/>
      <c r="O365" s="16"/>
      <c r="P365" s="14"/>
      <c r="Q365" s="15"/>
      <c r="R365" s="14"/>
      <c r="S365" s="18"/>
      <c r="T365" s="15"/>
      <c r="U365" s="14"/>
      <c r="V365" s="18"/>
      <c r="W365" s="14"/>
    </row>
    <row r="366" customFormat="false" ht="15" hidden="false" customHeight="false" outlineLevel="0" collapsed="false">
      <c r="A366" s="14"/>
      <c r="B366" s="14"/>
      <c r="C366" s="14"/>
      <c r="D366" s="14"/>
      <c r="E366" s="14"/>
      <c r="F366" s="15"/>
      <c r="G366" s="14"/>
      <c r="H366" s="14"/>
      <c r="I366" s="14"/>
      <c r="J366" s="14"/>
      <c r="K366" s="14"/>
      <c r="L366" s="16"/>
      <c r="M366" s="16"/>
      <c r="N366" s="17"/>
      <c r="O366" s="16"/>
      <c r="P366" s="14"/>
      <c r="Q366" s="15"/>
      <c r="R366" s="14"/>
      <c r="S366" s="18"/>
      <c r="T366" s="15"/>
      <c r="U366" s="14"/>
      <c r="V366" s="18"/>
      <c r="W366" s="14"/>
    </row>
    <row r="367" customFormat="false" ht="15" hidden="false" customHeight="false" outlineLevel="0" collapsed="false">
      <c r="A367" s="14"/>
      <c r="B367" s="14"/>
      <c r="C367" s="14"/>
      <c r="D367" s="14"/>
      <c r="E367" s="14"/>
      <c r="F367" s="15"/>
      <c r="G367" s="14"/>
      <c r="H367" s="14"/>
      <c r="I367" s="14"/>
      <c r="J367" s="14"/>
      <c r="K367" s="14"/>
      <c r="L367" s="16"/>
      <c r="M367" s="16"/>
      <c r="N367" s="17"/>
      <c r="O367" s="16"/>
      <c r="P367" s="14"/>
      <c r="Q367" s="15"/>
      <c r="R367" s="14"/>
      <c r="S367" s="18"/>
      <c r="T367" s="15"/>
      <c r="U367" s="14"/>
      <c r="V367" s="18"/>
      <c r="W367" s="14"/>
    </row>
    <row r="368" customFormat="false" ht="15" hidden="false" customHeight="false" outlineLevel="0" collapsed="false">
      <c r="A368" s="14"/>
      <c r="B368" s="14"/>
      <c r="C368" s="14"/>
      <c r="D368" s="14"/>
      <c r="E368" s="14"/>
      <c r="F368" s="15"/>
      <c r="G368" s="14"/>
      <c r="H368" s="14"/>
      <c r="I368" s="14"/>
      <c r="J368" s="14"/>
      <c r="K368" s="14"/>
      <c r="L368" s="16"/>
      <c r="M368" s="16"/>
      <c r="N368" s="17"/>
      <c r="O368" s="16"/>
      <c r="P368" s="14"/>
      <c r="Q368" s="15"/>
      <c r="R368" s="14"/>
      <c r="S368" s="18"/>
      <c r="T368" s="15"/>
      <c r="U368" s="14"/>
      <c r="V368" s="18"/>
      <c r="W368" s="14"/>
    </row>
    <row r="369" customFormat="false" ht="15" hidden="false" customHeight="false" outlineLevel="0" collapsed="false">
      <c r="A369" s="14"/>
      <c r="B369" s="14"/>
      <c r="C369" s="14"/>
      <c r="D369" s="14"/>
      <c r="E369" s="14"/>
      <c r="F369" s="15"/>
      <c r="G369" s="14"/>
      <c r="H369" s="14"/>
      <c r="I369" s="14"/>
      <c r="J369" s="14"/>
      <c r="K369" s="14"/>
      <c r="L369" s="16"/>
      <c r="M369" s="16"/>
      <c r="N369" s="17"/>
      <c r="O369" s="16"/>
      <c r="P369" s="14"/>
      <c r="Q369" s="15"/>
      <c r="R369" s="14"/>
      <c r="S369" s="18"/>
      <c r="T369" s="15"/>
      <c r="U369" s="14"/>
      <c r="V369" s="18"/>
      <c r="W369" s="14"/>
    </row>
    <row r="370" customFormat="false" ht="15" hidden="false" customHeight="false" outlineLevel="0" collapsed="false">
      <c r="A370" s="14"/>
      <c r="B370" s="14"/>
      <c r="C370" s="14"/>
      <c r="D370" s="14"/>
      <c r="E370" s="14"/>
      <c r="F370" s="15"/>
      <c r="G370" s="14"/>
      <c r="H370" s="14"/>
      <c r="I370" s="14"/>
      <c r="J370" s="14"/>
      <c r="K370" s="14"/>
      <c r="L370" s="16"/>
      <c r="M370" s="16"/>
      <c r="N370" s="17"/>
      <c r="O370" s="16"/>
      <c r="P370" s="14"/>
      <c r="Q370" s="15"/>
      <c r="R370" s="14"/>
      <c r="S370" s="18"/>
      <c r="T370" s="15"/>
      <c r="U370" s="14"/>
      <c r="V370" s="18"/>
      <c r="W370" s="14"/>
    </row>
    <row r="371" customFormat="false" ht="15" hidden="false" customHeight="false" outlineLevel="0" collapsed="false">
      <c r="A371" s="14"/>
      <c r="B371" s="14"/>
      <c r="C371" s="14"/>
      <c r="D371" s="14"/>
      <c r="E371" s="14"/>
      <c r="F371" s="15"/>
      <c r="G371" s="14"/>
      <c r="H371" s="14"/>
      <c r="I371" s="14"/>
      <c r="J371" s="14"/>
      <c r="K371" s="14"/>
      <c r="L371" s="16"/>
      <c r="M371" s="16"/>
      <c r="N371" s="17"/>
      <c r="O371" s="16"/>
      <c r="P371" s="14"/>
      <c r="Q371" s="15"/>
      <c r="R371" s="14"/>
      <c r="S371" s="18"/>
      <c r="T371" s="15"/>
      <c r="U371" s="14"/>
      <c r="V371" s="18"/>
      <c r="W371" s="14"/>
    </row>
    <row r="372" customFormat="false" ht="15" hidden="false" customHeight="false" outlineLevel="0" collapsed="false">
      <c r="A372" s="14"/>
      <c r="B372" s="14"/>
      <c r="C372" s="14"/>
      <c r="D372" s="14"/>
      <c r="E372" s="14"/>
      <c r="F372" s="15"/>
      <c r="G372" s="14"/>
      <c r="H372" s="14"/>
      <c r="I372" s="14"/>
      <c r="J372" s="14"/>
      <c r="K372" s="14"/>
      <c r="L372" s="16"/>
      <c r="M372" s="16"/>
      <c r="N372" s="17"/>
      <c r="O372" s="16"/>
      <c r="P372" s="14"/>
      <c r="Q372" s="15"/>
      <c r="R372" s="14"/>
      <c r="S372" s="18"/>
      <c r="T372" s="15"/>
      <c r="U372" s="14"/>
      <c r="V372" s="18"/>
      <c r="W372" s="14"/>
    </row>
    <row r="373" customFormat="false" ht="15" hidden="false" customHeight="false" outlineLevel="0" collapsed="false">
      <c r="A373" s="14"/>
      <c r="B373" s="14"/>
      <c r="C373" s="14"/>
      <c r="D373" s="14"/>
      <c r="E373" s="14"/>
      <c r="F373" s="15"/>
      <c r="G373" s="14"/>
      <c r="H373" s="14"/>
      <c r="I373" s="14"/>
      <c r="J373" s="14"/>
      <c r="K373" s="14"/>
      <c r="L373" s="16"/>
      <c r="M373" s="16"/>
      <c r="N373" s="17"/>
      <c r="O373" s="16"/>
      <c r="P373" s="14"/>
      <c r="Q373" s="15"/>
      <c r="R373" s="14"/>
      <c r="S373" s="18"/>
      <c r="T373" s="15"/>
      <c r="U373" s="14"/>
      <c r="V373" s="18"/>
      <c r="W373" s="14"/>
    </row>
    <row r="374" customFormat="false" ht="15" hidden="false" customHeight="false" outlineLevel="0" collapsed="false">
      <c r="A374" s="14"/>
      <c r="B374" s="14"/>
      <c r="C374" s="14"/>
      <c r="D374" s="14"/>
      <c r="E374" s="14"/>
      <c r="F374" s="15"/>
      <c r="G374" s="14"/>
      <c r="H374" s="14"/>
      <c r="I374" s="14"/>
      <c r="J374" s="14"/>
      <c r="K374" s="14"/>
      <c r="L374" s="16"/>
      <c r="M374" s="16"/>
      <c r="N374" s="17"/>
      <c r="O374" s="16"/>
      <c r="P374" s="14"/>
      <c r="Q374" s="15"/>
      <c r="R374" s="14"/>
      <c r="S374" s="18"/>
      <c r="T374" s="15"/>
      <c r="U374" s="14"/>
      <c r="V374" s="18"/>
      <c r="W374" s="14"/>
    </row>
    <row r="375" customFormat="false" ht="15" hidden="false" customHeight="false" outlineLevel="0" collapsed="false">
      <c r="A375" s="14"/>
      <c r="B375" s="14"/>
      <c r="C375" s="14"/>
      <c r="D375" s="14"/>
      <c r="E375" s="14"/>
      <c r="F375" s="15"/>
      <c r="G375" s="14"/>
      <c r="H375" s="14"/>
      <c r="I375" s="14"/>
      <c r="J375" s="14"/>
      <c r="K375" s="14"/>
      <c r="L375" s="16"/>
      <c r="M375" s="16"/>
      <c r="N375" s="17"/>
      <c r="O375" s="16"/>
      <c r="P375" s="14"/>
      <c r="Q375" s="15"/>
      <c r="R375" s="14"/>
      <c r="S375" s="18"/>
      <c r="T375" s="15"/>
      <c r="U375" s="14"/>
      <c r="V375" s="18"/>
      <c r="W375" s="14"/>
    </row>
    <row r="376" customFormat="false" ht="15" hidden="false" customHeight="false" outlineLevel="0" collapsed="false">
      <c r="A376" s="14"/>
      <c r="B376" s="14"/>
      <c r="C376" s="14"/>
      <c r="D376" s="14"/>
      <c r="E376" s="14"/>
      <c r="F376" s="15"/>
      <c r="G376" s="14"/>
      <c r="H376" s="14"/>
      <c r="I376" s="14"/>
      <c r="J376" s="14"/>
      <c r="K376" s="14"/>
      <c r="L376" s="16"/>
      <c r="M376" s="16"/>
      <c r="N376" s="17"/>
      <c r="O376" s="16"/>
      <c r="P376" s="14"/>
      <c r="Q376" s="15"/>
      <c r="R376" s="14"/>
      <c r="S376" s="18"/>
      <c r="T376" s="15"/>
      <c r="U376" s="14"/>
      <c r="V376" s="18"/>
      <c r="W376" s="14"/>
    </row>
    <row r="377" customFormat="false" ht="15" hidden="false" customHeight="false" outlineLevel="0" collapsed="false">
      <c r="A377" s="14"/>
      <c r="B377" s="14"/>
      <c r="C377" s="14"/>
      <c r="D377" s="14"/>
      <c r="E377" s="14"/>
      <c r="F377" s="15"/>
      <c r="G377" s="14"/>
      <c r="H377" s="14"/>
      <c r="I377" s="14"/>
      <c r="J377" s="14"/>
      <c r="K377" s="14"/>
      <c r="L377" s="16"/>
      <c r="M377" s="16"/>
      <c r="N377" s="17"/>
      <c r="O377" s="16"/>
      <c r="P377" s="14"/>
      <c r="Q377" s="15"/>
      <c r="R377" s="14"/>
      <c r="S377" s="18"/>
      <c r="T377" s="15"/>
      <c r="U377" s="14"/>
      <c r="V377" s="18"/>
      <c r="W377" s="14"/>
    </row>
    <row r="378" customFormat="false" ht="15" hidden="false" customHeight="false" outlineLevel="0" collapsed="false">
      <c r="A378" s="14"/>
      <c r="B378" s="14"/>
      <c r="C378" s="14"/>
      <c r="D378" s="14"/>
      <c r="E378" s="14"/>
      <c r="F378" s="15"/>
      <c r="G378" s="14"/>
      <c r="H378" s="14"/>
      <c r="I378" s="14"/>
      <c r="J378" s="14"/>
      <c r="K378" s="14"/>
      <c r="L378" s="16"/>
      <c r="M378" s="16"/>
      <c r="N378" s="17"/>
      <c r="O378" s="16"/>
      <c r="P378" s="14"/>
      <c r="Q378" s="15"/>
      <c r="R378" s="14"/>
      <c r="S378" s="18"/>
      <c r="T378" s="15"/>
      <c r="U378" s="14"/>
      <c r="V378" s="18"/>
      <c r="W378" s="14"/>
    </row>
    <row r="379" customFormat="false" ht="15" hidden="false" customHeight="false" outlineLevel="0" collapsed="false">
      <c r="A379" s="14"/>
      <c r="B379" s="14"/>
      <c r="C379" s="14"/>
      <c r="D379" s="14"/>
      <c r="E379" s="14"/>
      <c r="F379" s="15"/>
      <c r="G379" s="14"/>
      <c r="H379" s="14"/>
      <c r="I379" s="14"/>
      <c r="J379" s="14"/>
      <c r="K379" s="14"/>
      <c r="L379" s="16"/>
      <c r="M379" s="16"/>
      <c r="N379" s="17"/>
      <c r="O379" s="16"/>
      <c r="P379" s="14"/>
      <c r="Q379" s="15"/>
      <c r="R379" s="14"/>
      <c r="S379" s="18"/>
      <c r="T379" s="15"/>
      <c r="U379" s="14"/>
      <c r="V379" s="18"/>
      <c r="W379" s="14"/>
    </row>
    <row r="380" customFormat="false" ht="15" hidden="false" customHeight="false" outlineLevel="0" collapsed="false">
      <c r="A380" s="14"/>
      <c r="B380" s="14"/>
      <c r="C380" s="14"/>
      <c r="D380" s="14"/>
      <c r="E380" s="14"/>
      <c r="F380" s="15"/>
      <c r="G380" s="14"/>
      <c r="H380" s="14"/>
      <c r="I380" s="14"/>
      <c r="J380" s="14"/>
      <c r="K380" s="14"/>
      <c r="L380" s="16"/>
      <c r="M380" s="16"/>
      <c r="N380" s="17"/>
      <c r="O380" s="16"/>
      <c r="P380" s="14"/>
      <c r="Q380" s="15"/>
      <c r="R380" s="14"/>
      <c r="S380" s="18"/>
      <c r="T380" s="15"/>
      <c r="U380" s="14"/>
      <c r="V380" s="18"/>
      <c r="W380" s="14"/>
    </row>
    <row r="381" customFormat="false" ht="15" hidden="false" customHeight="false" outlineLevel="0" collapsed="false">
      <c r="A381" s="14"/>
      <c r="B381" s="14"/>
      <c r="C381" s="14"/>
      <c r="D381" s="14"/>
      <c r="E381" s="14"/>
      <c r="F381" s="15"/>
      <c r="G381" s="14"/>
      <c r="H381" s="14"/>
      <c r="I381" s="14"/>
      <c r="J381" s="14"/>
      <c r="K381" s="14"/>
      <c r="L381" s="16"/>
      <c r="M381" s="16"/>
      <c r="N381" s="17"/>
      <c r="O381" s="16"/>
      <c r="P381" s="14"/>
      <c r="Q381" s="15"/>
      <c r="R381" s="14"/>
      <c r="S381" s="18"/>
      <c r="T381" s="15"/>
      <c r="U381" s="14"/>
      <c r="V381" s="18"/>
      <c r="W381" s="14"/>
    </row>
    <row r="382" customFormat="false" ht="15" hidden="false" customHeight="false" outlineLevel="0" collapsed="false">
      <c r="A382" s="14"/>
      <c r="B382" s="14"/>
      <c r="C382" s="14"/>
      <c r="D382" s="14"/>
      <c r="E382" s="14"/>
      <c r="F382" s="15"/>
      <c r="G382" s="14"/>
      <c r="H382" s="14"/>
      <c r="I382" s="14"/>
      <c r="J382" s="14"/>
      <c r="K382" s="14"/>
      <c r="L382" s="16"/>
      <c r="M382" s="16"/>
      <c r="N382" s="17"/>
      <c r="O382" s="16"/>
      <c r="P382" s="14"/>
      <c r="Q382" s="15"/>
      <c r="R382" s="14"/>
      <c r="S382" s="18"/>
      <c r="T382" s="15"/>
      <c r="U382" s="14"/>
      <c r="V382" s="18"/>
      <c r="W382" s="14"/>
    </row>
    <row r="383" customFormat="false" ht="15" hidden="false" customHeight="false" outlineLevel="0" collapsed="false">
      <c r="A383" s="14"/>
      <c r="B383" s="14"/>
      <c r="C383" s="14"/>
      <c r="D383" s="14"/>
      <c r="E383" s="14"/>
      <c r="F383" s="15"/>
      <c r="G383" s="14"/>
      <c r="H383" s="14"/>
      <c r="I383" s="14"/>
      <c r="J383" s="14"/>
      <c r="K383" s="14"/>
      <c r="L383" s="16"/>
      <c r="M383" s="16"/>
      <c r="N383" s="17"/>
      <c r="O383" s="16"/>
      <c r="P383" s="14"/>
      <c r="Q383" s="15"/>
      <c r="R383" s="14"/>
      <c r="S383" s="18"/>
      <c r="T383" s="15"/>
      <c r="U383" s="14"/>
      <c r="V383" s="18"/>
      <c r="W383" s="14"/>
    </row>
    <row r="384" customFormat="false" ht="15" hidden="false" customHeight="false" outlineLevel="0" collapsed="false">
      <c r="A384" s="14"/>
      <c r="B384" s="14"/>
      <c r="C384" s="14"/>
      <c r="D384" s="14"/>
      <c r="E384" s="14"/>
      <c r="F384" s="15"/>
      <c r="G384" s="14"/>
      <c r="H384" s="14"/>
      <c r="I384" s="14"/>
      <c r="J384" s="14"/>
      <c r="K384" s="14"/>
      <c r="L384" s="16"/>
      <c r="M384" s="16"/>
      <c r="N384" s="17"/>
      <c r="O384" s="16"/>
      <c r="P384" s="14"/>
      <c r="Q384" s="15"/>
      <c r="R384" s="14"/>
      <c r="S384" s="18"/>
      <c r="T384" s="15"/>
      <c r="U384" s="14"/>
      <c r="V384" s="18"/>
      <c r="W384" s="14"/>
    </row>
    <row r="385" customFormat="false" ht="15" hidden="false" customHeight="false" outlineLevel="0" collapsed="false">
      <c r="A385" s="14"/>
      <c r="B385" s="14"/>
      <c r="C385" s="14"/>
      <c r="D385" s="14"/>
      <c r="E385" s="14"/>
      <c r="F385" s="15"/>
      <c r="G385" s="14"/>
      <c r="H385" s="14"/>
      <c r="I385" s="14"/>
      <c r="J385" s="14"/>
      <c r="K385" s="14"/>
      <c r="L385" s="16"/>
      <c r="M385" s="16"/>
      <c r="N385" s="17"/>
      <c r="O385" s="16"/>
      <c r="P385" s="14"/>
      <c r="Q385" s="15"/>
      <c r="R385" s="14"/>
      <c r="S385" s="18"/>
      <c r="T385" s="15"/>
      <c r="U385" s="14"/>
      <c r="V385" s="18"/>
      <c r="W385" s="14"/>
    </row>
    <row r="386" customFormat="false" ht="15" hidden="false" customHeight="false" outlineLevel="0" collapsed="false">
      <c r="A386" s="14"/>
      <c r="B386" s="14"/>
      <c r="C386" s="14"/>
      <c r="D386" s="14"/>
      <c r="E386" s="14"/>
      <c r="F386" s="15"/>
      <c r="G386" s="14"/>
      <c r="H386" s="14"/>
      <c r="I386" s="14"/>
      <c r="J386" s="14"/>
      <c r="K386" s="14"/>
      <c r="L386" s="16"/>
      <c r="M386" s="16"/>
      <c r="N386" s="17"/>
      <c r="O386" s="16"/>
      <c r="P386" s="14"/>
      <c r="Q386" s="15"/>
      <c r="R386" s="14"/>
      <c r="S386" s="18"/>
      <c r="T386" s="15"/>
      <c r="U386" s="14"/>
      <c r="V386" s="18"/>
      <c r="W386" s="14"/>
    </row>
    <row r="387" customFormat="false" ht="15" hidden="false" customHeight="false" outlineLevel="0" collapsed="false">
      <c r="A387" s="14"/>
      <c r="B387" s="14"/>
      <c r="C387" s="14"/>
      <c r="D387" s="14"/>
      <c r="E387" s="14"/>
      <c r="F387" s="15"/>
      <c r="G387" s="14"/>
      <c r="H387" s="14"/>
      <c r="I387" s="14"/>
      <c r="J387" s="14"/>
      <c r="K387" s="14"/>
      <c r="L387" s="16"/>
      <c r="M387" s="16"/>
      <c r="N387" s="17"/>
      <c r="O387" s="16"/>
      <c r="P387" s="14"/>
      <c r="Q387" s="15"/>
      <c r="R387" s="14"/>
      <c r="S387" s="18"/>
      <c r="T387" s="15"/>
      <c r="U387" s="14"/>
      <c r="V387" s="18"/>
      <c r="W387" s="14"/>
    </row>
    <row r="388" customFormat="false" ht="15" hidden="false" customHeight="false" outlineLevel="0" collapsed="false">
      <c r="A388" s="14"/>
      <c r="B388" s="14"/>
      <c r="C388" s="14"/>
      <c r="D388" s="14"/>
      <c r="E388" s="14"/>
      <c r="F388" s="15"/>
      <c r="G388" s="14"/>
      <c r="H388" s="14"/>
      <c r="I388" s="14"/>
      <c r="J388" s="14"/>
      <c r="K388" s="14"/>
      <c r="L388" s="16"/>
      <c r="M388" s="16"/>
      <c r="N388" s="17"/>
      <c r="O388" s="16"/>
      <c r="P388" s="14"/>
      <c r="Q388" s="15"/>
      <c r="R388" s="14"/>
      <c r="S388" s="18"/>
      <c r="T388" s="15"/>
      <c r="U388" s="14"/>
      <c r="V388" s="18"/>
      <c r="W388" s="14"/>
    </row>
    <row r="389" customFormat="false" ht="15" hidden="false" customHeight="false" outlineLevel="0" collapsed="false">
      <c r="A389" s="14"/>
      <c r="B389" s="14"/>
      <c r="C389" s="14"/>
      <c r="D389" s="14"/>
      <c r="E389" s="14"/>
      <c r="F389" s="15"/>
      <c r="G389" s="14"/>
      <c r="H389" s="14"/>
      <c r="I389" s="14"/>
      <c r="J389" s="14"/>
      <c r="K389" s="14"/>
      <c r="L389" s="16"/>
      <c r="M389" s="16"/>
      <c r="N389" s="17"/>
      <c r="O389" s="16"/>
      <c r="P389" s="14"/>
      <c r="Q389" s="15"/>
      <c r="R389" s="14"/>
      <c r="S389" s="18"/>
      <c r="T389" s="15"/>
      <c r="U389" s="14"/>
      <c r="V389" s="18"/>
      <c r="W389" s="14"/>
    </row>
    <row r="390" customFormat="false" ht="15" hidden="false" customHeight="false" outlineLevel="0" collapsed="false">
      <c r="A390" s="14"/>
      <c r="B390" s="14"/>
      <c r="C390" s="14"/>
      <c r="D390" s="14"/>
      <c r="E390" s="14"/>
      <c r="F390" s="15"/>
      <c r="G390" s="14"/>
      <c r="H390" s="14"/>
      <c r="I390" s="14"/>
      <c r="J390" s="14"/>
      <c r="K390" s="14"/>
      <c r="L390" s="16"/>
      <c r="M390" s="16"/>
      <c r="N390" s="17"/>
      <c r="O390" s="16"/>
      <c r="P390" s="14"/>
      <c r="Q390" s="15"/>
      <c r="R390" s="14"/>
      <c r="S390" s="18"/>
      <c r="T390" s="15"/>
      <c r="U390" s="14"/>
      <c r="V390" s="18"/>
      <c r="W390" s="14"/>
    </row>
    <row r="391" customFormat="false" ht="15" hidden="false" customHeight="false" outlineLevel="0" collapsed="false">
      <c r="A391" s="14"/>
      <c r="B391" s="14"/>
      <c r="C391" s="14"/>
      <c r="D391" s="14"/>
      <c r="E391" s="14"/>
      <c r="F391" s="15"/>
      <c r="G391" s="14"/>
      <c r="H391" s="14"/>
      <c r="I391" s="14"/>
      <c r="J391" s="14"/>
      <c r="K391" s="14"/>
      <c r="L391" s="16"/>
      <c r="M391" s="16"/>
      <c r="N391" s="17"/>
      <c r="O391" s="16"/>
      <c r="P391" s="14"/>
      <c r="Q391" s="15"/>
      <c r="R391" s="14"/>
      <c r="S391" s="18"/>
      <c r="T391" s="15"/>
      <c r="U391" s="14"/>
      <c r="V391" s="18"/>
      <c r="W391" s="14"/>
    </row>
    <row r="392" customFormat="false" ht="15" hidden="false" customHeight="false" outlineLevel="0" collapsed="false">
      <c r="A392" s="14"/>
      <c r="B392" s="14"/>
      <c r="C392" s="14"/>
      <c r="D392" s="14"/>
      <c r="E392" s="14"/>
      <c r="F392" s="15"/>
      <c r="G392" s="14"/>
      <c r="H392" s="14"/>
      <c r="I392" s="14"/>
      <c r="J392" s="14"/>
      <c r="K392" s="14"/>
      <c r="L392" s="16"/>
      <c r="M392" s="16"/>
      <c r="N392" s="17"/>
      <c r="O392" s="16"/>
      <c r="P392" s="14"/>
      <c r="Q392" s="15"/>
      <c r="R392" s="14"/>
      <c r="S392" s="18"/>
      <c r="T392" s="15"/>
      <c r="U392" s="14"/>
      <c r="V392" s="18"/>
      <c r="W392" s="14"/>
    </row>
    <row r="393" customFormat="false" ht="15" hidden="false" customHeight="false" outlineLevel="0" collapsed="false">
      <c r="A393" s="14"/>
      <c r="B393" s="14"/>
      <c r="C393" s="14"/>
      <c r="D393" s="14"/>
      <c r="E393" s="14"/>
      <c r="F393" s="15"/>
      <c r="G393" s="14"/>
      <c r="H393" s="14"/>
      <c r="I393" s="14"/>
      <c r="J393" s="14"/>
      <c r="K393" s="14"/>
      <c r="L393" s="16"/>
      <c r="M393" s="16"/>
      <c r="N393" s="17"/>
      <c r="O393" s="16"/>
      <c r="P393" s="14"/>
      <c r="Q393" s="15"/>
      <c r="R393" s="14"/>
      <c r="S393" s="18"/>
      <c r="T393" s="15"/>
      <c r="U393" s="14"/>
      <c r="V393" s="18"/>
      <c r="W393" s="14"/>
    </row>
    <row r="394" customFormat="false" ht="15" hidden="false" customHeight="false" outlineLevel="0" collapsed="false">
      <c r="A394" s="14"/>
      <c r="B394" s="14"/>
      <c r="C394" s="14"/>
      <c r="D394" s="14"/>
      <c r="E394" s="14"/>
      <c r="F394" s="15"/>
      <c r="G394" s="14"/>
      <c r="H394" s="14"/>
      <c r="I394" s="14"/>
      <c r="J394" s="14"/>
      <c r="K394" s="14"/>
      <c r="L394" s="16"/>
      <c r="M394" s="16"/>
      <c r="N394" s="17"/>
      <c r="O394" s="16"/>
      <c r="P394" s="14"/>
      <c r="Q394" s="15"/>
      <c r="R394" s="14"/>
      <c r="S394" s="18"/>
      <c r="T394" s="15"/>
      <c r="U394" s="14"/>
      <c r="V394" s="18"/>
      <c r="W394" s="14"/>
    </row>
    <row r="395" customFormat="false" ht="15" hidden="false" customHeight="false" outlineLevel="0" collapsed="false">
      <c r="A395" s="14"/>
      <c r="B395" s="14"/>
      <c r="C395" s="14"/>
      <c r="D395" s="14"/>
      <c r="E395" s="14"/>
      <c r="F395" s="15"/>
      <c r="G395" s="14"/>
      <c r="H395" s="14"/>
      <c r="I395" s="14"/>
      <c r="J395" s="14"/>
      <c r="K395" s="14"/>
      <c r="L395" s="16"/>
      <c r="M395" s="16"/>
      <c r="N395" s="17"/>
      <c r="O395" s="16"/>
      <c r="P395" s="14"/>
      <c r="Q395" s="15"/>
      <c r="R395" s="14"/>
      <c r="S395" s="18"/>
      <c r="T395" s="15"/>
      <c r="U395" s="14"/>
      <c r="V395" s="18"/>
      <c r="W395" s="14"/>
    </row>
    <row r="396" customFormat="false" ht="15" hidden="false" customHeight="false" outlineLevel="0" collapsed="false">
      <c r="A396" s="14"/>
      <c r="B396" s="14"/>
      <c r="C396" s="14"/>
      <c r="D396" s="14"/>
      <c r="E396" s="14"/>
      <c r="F396" s="15"/>
      <c r="G396" s="14"/>
      <c r="H396" s="14"/>
      <c r="I396" s="14"/>
      <c r="J396" s="14"/>
      <c r="K396" s="14"/>
      <c r="L396" s="16"/>
      <c r="M396" s="16"/>
      <c r="N396" s="17"/>
      <c r="O396" s="16"/>
      <c r="P396" s="14"/>
      <c r="Q396" s="15"/>
      <c r="R396" s="14"/>
      <c r="S396" s="18"/>
      <c r="T396" s="15"/>
      <c r="U396" s="14"/>
      <c r="V396" s="18"/>
      <c r="W396" s="14"/>
    </row>
    <row r="397" customFormat="false" ht="15" hidden="false" customHeight="false" outlineLevel="0" collapsed="false">
      <c r="A397" s="14"/>
      <c r="B397" s="14"/>
      <c r="C397" s="14"/>
      <c r="D397" s="14"/>
      <c r="E397" s="14"/>
      <c r="F397" s="15"/>
      <c r="G397" s="14"/>
      <c r="H397" s="14"/>
      <c r="I397" s="14"/>
      <c r="J397" s="14"/>
      <c r="K397" s="14"/>
      <c r="L397" s="16"/>
      <c r="M397" s="16"/>
      <c r="N397" s="17"/>
      <c r="O397" s="16"/>
      <c r="P397" s="14"/>
      <c r="Q397" s="15"/>
      <c r="R397" s="14"/>
      <c r="S397" s="18"/>
      <c r="T397" s="15"/>
      <c r="U397" s="14"/>
      <c r="V397" s="18"/>
      <c r="W397" s="14"/>
    </row>
    <row r="398" customFormat="false" ht="15" hidden="false" customHeight="false" outlineLevel="0" collapsed="false">
      <c r="A398" s="14"/>
      <c r="B398" s="14"/>
      <c r="C398" s="14"/>
      <c r="D398" s="14"/>
      <c r="E398" s="14"/>
      <c r="F398" s="15"/>
      <c r="G398" s="14"/>
      <c r="H398" s="14"/>
      <c r="I398" s="14"/>
      <c r="J398" s="14"/>
      <c r="K398" s="14"/>
      <c r="L398" s="16"/>
      <c r="M398" s="16"/>
      <c r="N398" s="17"/>
      <c r="O398" s="16"/>
      <c r="P398" s="14"/>
      <c r="Q398" s="15"/>
      <c r="R398" s="14"/>
      <c r="S398" s="18"/>
      <c r="T398" s="15"/>
      <c r="U398" s="14"/>
      <c r="V398" s="18"/>
      <c r="W398" s="14"/>
    </row>
    <row r="399" customFormat="false" ht="15" hidden="false" customHeight="false" outlineLevel="0" collapsed="false">
      <c r="A399" s="14"/>
      <c r="B399" s="14"/>
      <c r="C399" s="14"/>
      <c r="D399" s="14"/>
      <c r="E399" s="14"/>
      <c r="F399" s="15"/>
      <c r="G399" s="14"/>
      <c r="H399" s="14"/>
      <c r="I399" s="14"/>
      <c r="J399" s="14"/>
      <c r="K399" s="14"/>
      <c r="L399" s="16"/>
      <c r="M399" s="16"/>
      <c r="N399" s="17"/>
      <c r="O399" s="16"/>
      <c r="P399" s="14"/>
      <c r="Q399" s="15"/>
      <c r="R399" s="14"/>
      <c r="S399" s="18"/>
      <c r="T399" s="15"/>
      <c r="U399" s="14"/>
      <c r="V399" s="18"/>
      <c r="W399" s="14"/>
    </row>
    <row r="400" customFormat="false" ht="15" hidden="false" customHeight="false" outlineLevel="0" collapsed="false">
      <c r="A400" s="14"/>
      <c r="B400" s="14"/>
      <c r="C400" s="14"/>
      <c r="D400" s="14"/>
      <c r="E400" s="14"/>
      <c r="F400" s="15"/>
      <c r="G400" s="14"/>
      <c r="H400" s="14"/>
      <c r="I400" s="14"/>
      <c r="J400" s="14"/>
      <c r="K400" s="14"/>
      <c r="L400" s="16"/>
      <c r="M400" s="16"/>
      <c r="N400" s="17"/>
      <c r="O400" s="16"/>
      <c r="P400" s="14"/>
      <c r="Q400" s="15"/>
      <c r="R400" s="14"/>
      <c r="S400" s="18"/>
      <c r="T400" s="15"/>
      <c r="U400" s="14"/>
      <c r="V400" s="18"/>
      <c r="W400" s="14"/>
    </row>
    <row r="401" customFormat="false" ht="15" hidden="false" customHeight="false" outlineLevel="0" collapsed="false">
      <c r="A401" s="14"/>
      <c r="B401" s="14"/>
      <c r="C401" s="14"/>
      <c r="D401" s="14"/>
      <c r="E401" s="14"/>
      <c r="F401" s="15"/>
      <c r="G401" s="14"/>
      <c r="H401" s="14"/>
      <c r="I401" s="14"/>
      <c r="J401" s="14"/>
      <c r="K401" s="14"/>
      <c r="L401" s="16"/>
      <c r="M401" s="16"/>
      <c r="N401" s="17"/>
      <c r="O401" s="16"/>
      <c r="P401" s="14"/>
      <c r="Q401" s="15"/>
      <c r="R401" s="14"/>
      <c r="S401" s="18"/>
      <c r="T401" s="15"/>
      <c r="U401" s="14"/>
      <c r="V401" s="18"/>
      <c r="W401" s="14"/>
    </row>
    <row r="402" customFormat="false" ht="15" hidden="false" customHeight="false" outlineLevel="0" collapsed="false">
      <c r="A402" s="14"/>
      <c r="B402" s="14"/>
      <c r="C402" s="14"/>
      <c r="D402" s="14"/>
      <c r="E402" s="14"/>
      <c r="F402" s="15"/>
      <c r="G402" s="14"/>
      <c r="H402" s="14"/>
      <c r="I402" s="14"/>
      <c r="J402" s="14"/>
      <c r="K402" s="14"/>
      <c r="L402" s="16"/>
      <c r="M402" s="16"/>
      <c r="N402" s="17"/>
      <c r="O402" s="16"/>
      <c r="P402" s="14"/>
      <c r="Q402" s="15"/>
      <c r="R402" s="14"/>
      <c r="S402" s="18"/>
      <c r="T402" s="15"/>
      <c r="U402" s="14"/>
      <c r="V402" s="18"/>
      <c r="W402" s="14"/>
    </row>
    <row r="403" customFormat="false" ht="15" hidden="false" customHeight="false" outlineLevel="0" collapsed="false">
      <c r="A403" s="14"/>
      <c r="B403" s="14"/>
      <c r="C403" s="14"/>
      <c r="D403" s="14"/>
      <c r="E403" s="14"/>
      <c r="F403" s="15"/>
      <c r="G403" s="14"/>
      <c r="H403" s="14"/>
      <c r="I403" s="14"/>
      <c r="J403" s="14"/>
      <c r="K403" s="14"/>
      <c r="L403" s="16"/>
      <c r="M403" s="16"/>
      <c r="N403" s="17"/>
      <c r="O403" s="16"/>
      <c r="P403" s="14"/>
      <c r="Q403" s="15"/>
      <c r="R403" s="14"/>
      <c r="S403" s="18"/>
      <c r="T403" s="15"/>
      <c r="U403" s="14"/>
      <c r="V403" s="18"/>
      <c r="W403" s="14"/>
    </row>
    <row r="404" customFormat="false" ht="15" hidden="false" customHeight="false" outlineLevel="0" collapsed="false">
      <c r="A404" s="14"/>
      <c r="B404" s="14"/>
      <c r="C404" s="14"/>
      <c r="D404" s="14"/>
      <c r="E404" s="14"/>
      <c r="F404" s="15"/>
      <c r="G404" s="14"/>
      <c r="H404" s="14"/>
      <c r="I404" s="14"/>
      <c r="J404" s="14"/>
      <c r="K404" s="14"/>
      <c r="L404" s="16"/>
      <c r="M404" s="16"/>
      <c r="N404" s="17"/>
      <c r="O404" s="16"/>
      <c r="P404" s="14"/>
      <c r="Q404" s="15"/>
      <c r="R404" s="14"/>
      <c r="S404" s="18"/>
      <c r="T404" s="15"/>
      <c r="U404" s="14"/>
      <c r="V404" s="18"/>
      <c r="W404" s="14"/>
    </row>
    <row r="405" customFormat="false" ht="15" hidden="false" customHeight="false" outlineLevel="0" collapsed="false">
      <c r="A405" s="14"/>
      <c r="B405" s="14"/>
      <c r="C405" s="14"/>
      <c r="D405" s="14"/>
      <c r="E405" s="14"/>
      <c r="F405" s="15"/>
      <c r="G405" s="14"/>
      <c r="H405" s="14"/>
      <c r="I405" s="14"/>
      <c r="J405" s="14"/>
      <c r="K405" s="14"/>
      <c r="L405" s="16"/>
      <c r="M405" s="16"/>
      <c r="N405" s="17"/>
      <c r="O405" s="16"/>
      <c r="P405" s="14"/>
      <c r="Q405" s="15"/>
      <c r="R405" s="14"/>
      <c r="S405" s="18"/>
      <c r="T405" s="15"/>
      <c r="U405" s="14"/>
      <c r="V405" s="18"/>
      <c r="W405" s="14"/>
    </row>
    <row r="406" customFormat="false" ht="15" hidden="false" customHeight="false" outlineLevel="0" collapsed="false">
      <c r="A406" s="14"/>
      <c r="B406" s="14"/>
      <c r="C406" s="14"/>
      <c r="D406" s="14"/>
      <c r="E406" s="14"/>
      <c r="F406" s="15"/>
      <c r="G406" s="14"/>
      <c r="H406" s="14"/>
      <c r="I406" s="14"/>
      <c r="J406" s="14"/>
      <c r="K406" s="14"/>
      <c r="L406" s="16"/>
      <c r="M406" s="16"/>
      <c r="N406" s="17"/>
      <c r="O406" s="16"/>
      <c r="P406" s="14"/>
      <c r="Q406" s="15"/>
      <c r="R406" s="14"/>
      <c r="S406" s="18"/>
      <c r="T406" s="15"/>
      <c r="U406" s="14"/>
      <c r="V406" s="18"/>
      <c r="W406" s="14"/>
    </row>
    <row r="407" customFormat="false" ht="15" hidden="false" customHeight="false" outlineLevel="0" collapsed="false">
      <c r="A407" s="14"/>
      <c r="B407" s="14"/>
      <c r="C407" s="14"/>
      <c r="D407" s="14"/>
      <c r="E407" s="14"/>
      <c r="F407" s="15"/>
      <c r="G407" s="14"/>
      <c r="H407" s="14"/>
      <c r="I407" s="14"/>
      <c r="J407" s="14"/>
      <c r="K407" s="14"/>
      <c r="L407" s="16"/>
      <c r="M407" s="16"/>
      <c r="N407" s="17"/>
      <c r="O407" s="16"/>
      <c r="P407" s="14"/>
      <c r="Q407" s="15"/>
      <c r="R407" s="14"/>
      <c r="S407" s="18"/>
      <c r="T407" s="15"/>
      <c r="U407" s="14"/>
      <c r="V407" s="18"/>
      <c r="W407" s="14"/>
    </row>
    <row r="408" customFormat="false" ht="15" hidden="false" customHeight="false" outlineLevel="0" collapsed="false">
      <c r="A408" s="14"/>
      <c r="B408" s="14"/>
      <c r="C408" s="14"/>
      <c r="D408" s="14"/>
      <c r="E408" s="14"/>
      <c r="F408" s="15"/>
      <c r="G408" s="14"/>
      <c r="H408" s="14"/>
      <c r="I408" s="14"/>
      <c r="J408" s="14"/>
      <c r="K408" s="14"/>
      <c r="L408" s="16"/>
      <c r="M408" s="16"/>
      <c r="N408" s="17"/>
      <c r="O408" s="16"/>
      <c r="P408" s="14"/>
      <c r="Q408" s="15"/>
      <c r="R408" s="14"/>
      <c r="S408" s="18"/>
      <c r="T408" s="15"/>
      <c r="U408" s="14"/>
      <c r="V408" s="18"/>
      <c r="W408" s="14"/>
    </row>
    <row r="409" customFormat="false" ht="15" hidden="false" customHeight="false" outlineLevel="0" collapsed="false">
      <c r="A409" s="14"/>
      <c r="B409" s="14"/>
      <c r="C409" s="14"/>
      <c r="D409" s="14"/>
      <c r="E409" s="14"/>
      <c r="F409" s="15"/>
      <c r="G409" s="14"/>
      <c r="H409" s="14"/>
      <c r="I409" s="14"/>
      <c r="J409" s="14"/>
      <c r="K409" s="14"/>
      <c r="L409" s="16"/>
      <c r="M409" s="16"/>
      <c r="N409" s="17"/>
      <c r="O409" s="16"/>
      <c r="P409" s="14"/>
      <c r="Q409" s="15"/>
      <c r="R409" s="14"/>
      <c r="S409" s="18"/>
      <c r="T409" s="15"/>
      <c r="U409" s="14"/>
      <c r="V409" s="18"/>
      <c r="W409" s="14"/>
    </row>
    <row r="410" customFormat="false" ht="15" hidden="false" customHeight="false" outlineLevel="0" collapsed="false">
      <c r="A410" s="14"/>
      <c r="B410" s="14"/>
      <c r="C410" s="14"/>
      <c r="D410" s="14"/>
      <c r="E410" s="14"/>
      <c r="F410" s="15"/>
      <c r="G410" s="14"/>
      <c r="H410" s="14"/>
      <c r="I410" s="14"/>
      <c r="J410" s="14"/>
      <c r="K410" s="14"/>
      <c r="L410" s="16"/>
      <c r="M410" s="16"/>
      <c r="N410" s="17"/>
      <c r="O410" s="16"/>
      <c r="P410" s="14"/>
      <c r="Q410" s="15"/>
      <c r="R410" s="14"/>
      <c r="S410" s="18"/>
      <c r="T410" s="15"/>
      <c r="U410" s="14"/>
      <c r="V410" s="18"/>
      <c r="W410" s="14"/>
    </row>
    <row r="411" customFormat="false" ht="15" hidden="false" customHeight="false" outlineLevel="0" collapsed="false">
      <c r="A411" s="14"/>
      <c r="B411" s="14"/>
      <c r="C411" s="14"/>
      <c r="D411" s="14"/>
      <c r="E411" s="14"/>
      <c r="F411" s="15"/>
      <c r="G411" s="14"/>
      <c r="H411" s="14"/>
      <c r="I411" s="14"/>
      <c r="J411" s="14"/>
      <c r="K411" s="14"/>
      <c r="L411" s="16"/>
      <c r="M411" s="16"/>
      <c r="N411" s="17"/>
      <c r="O411" s="16"/>
      <c r="P411" s="14"/>
      <c r="Q411" s="15"/>
      <c r="R411" s="14"/>
      <c r="S411" s="18"/>
      <c r="T411" s="15"/>
      <c r="U411" s="14"/>
      <c r="V411" s="18"/>
      <c r="W411" s="14"/>
    </row>
    <row r="412" customFormat="false" ht="15" hidden="false" customHeight="false" outlineLevel="0" collapsed="false">
      <c r="A412" s="14"/>
      <c r="B412" s="14"/>
      <c r="C412" s="14"/>
      <c r="D412" s="14"/>
      <c r="E412" s="14"/>
      <c r="F412" s="15"/>
      <c r="G412" s="14"/>
      <c r="H412" s="14"/>
      <c r="I412" s="14"/>
      <c r="J412" s="14"/>
      <c r="K412" s="14"/>
      <c r="L412" s="16"/>
      <c r="M412" s="16"/>
      <c r="N412" s="17"/>
      <c r="O412" s="16"/>
      <c r="P412" s="14"/>
      <c r="Q412" s="15"/>
      <c r="R412" s="14"/>
      <c r="S412" s="18"/>
      <c r="T412" s="15"/>
      <c r="U412" s="14"/>
      <c r="V412" s="18"/>
      <c r="W412" s="14"/>
    </row>
    <row r="413" customFormat="false" ht="15" hidden="false" customHeight="false" outlineLevel="0" collapsed="false">
      <c r="A413" s="14"/>
      <c r="B413" s="14"/>
      <c r="C413" s="14"/>
      <c r="D413" s="14"/>
      <c r="E413" s="14"/>
      <c r="F413" s="15"/>
      <c r="G413" s="14"/>
      <c r="H413" s="14"/>
      <c r="I413" s="14"/>
      <c r="J413" s="14"/>
      <c r="K413" s="14"/>
      <c r="L413" s="16"/>
      <c r="M413" s="16"/>
      <c r="N413" s="17"/>
      <c r="O413" s="16"/>
      <c r="P413" s="14"/>
      <c r="Q413" s="15"/>
      <c r="R413" s="14"/>
      <c r="S413" s="18"/>
      <c r="T413" s="15"/>
      <c r="U413" s="14"/>
      <c r="V413" s="18"/>
      <c r="W413" s="14"/>
    </row>
    <row r="414" customFormat="false" ht="15" hidden="false" customHeight="false" outlineLevel="0" collapsed="false">
      <c r="A414" s="14"/>
      <c r="B414" s="14"/>
      <c r="C414" s="14"/>
      <c r="D414" s="14"/>
      <c r="E414" s="14"/>
      <c r="F414" s="15"/>
      <c r="G414" s="14"/>
      <c r="H414" s="14"/>
      <c r="I414" s="14"/>
      <c r="J414" s="14"/>
      <c r="K414" s="14"/>
      <c r="L414" s="16"/>
      <c r="M414" s="16"/>
      <c r="N414" s="17"/>
      <c r="O414" s="16"/>
      <c r="P414" s="14"/>
      <c r="Q414" s="15"/>
      <c r="R414" s="14"/>
      <c r="S414" s="18"/>
      <c r="T414" s="15"/>
      <c r="U414" s="14"/>
      <c r="V414" s="18"/>
      <c r="W414" s="14"/>
    </row>
    <row r="415" customFormat="false" ht="15" hidden="false" customHeight="false" outlineLevel="0" collapsed="false">
      <c r="A415" s="14"/>
      <c r="B415" s="14"/>
      <c r="C415" s="14"/>
      <c r="D415" s="14"/>
      <c r="E415" s="14"/>
      <c r="F415" s="15"/>
      <c r="G415" s="14"/>
      <c r="H415" s="14"/>
      <c r="I415" s="14"/>
      <c r="J415" s="14"/>
      <c r="K415" s="14"/>
      <c r="L415" s="16"/>
      <c r="M415" s="16"/>
      <c r="N415" s="17"/>
      <c r="O415" s="16"/>
      <c r="P415" s="14"/>
      <c r="Q415" s="15"/>
      <c r="R415" s="14"/>
      <c r="S415" s="18"/>
      <c r="T415" s="15"/>
      <c r="U415" s="14"/>
      <c r="V415" s="18"/>
      <c r="W415" s="14"/>
    </row>
    <row r="416" customFormat="false" ht="15" hidden="false" customHeight="false" outlineLevel="0" collapsed="false">
      <c r="A416" s="14"/>
      <c r="B416" s="14"/>
      <c r="C416" s="14"/>
      <c r="D416" s="14"/>
      <c r="E416" s="14"/>
      <c r="F416" s="15"/>
      <c r="G416" s="14"/>
      <c r="H416" s="14"/>
      <c r="I416" s="14"/>
      <c r="J416" s="14"/>
      <c r="K416" s="14"/>
      <c r="L416" s="16"/>
      <c r="M416" s="16"/>
      <c r="N416" s="17"/>
      <c r="O416" s="16"/>
      <c r="P416" s="14"/>
      <c r="Q416" s="15"/>
      <c r="R416" s="14"/>
      <c r="S416" s="18"/>
      <c r="T416" s="15"/>
      <c r="U416" s="14"/>
      <c r="V416" s="18"/>
      <c r="W416" s="14"/>
    </row>
    <row r="417" customFormat="false" ht="15" hidden="false" customHeight="false" outlineLevel="0" collapsed="false">
      <c r="A417" s="14"/>
      <c r="B417" s="14"/>
      <c r="C417" s="14"/>
      <c r="D417" s="14"/>
      <c r="E417" s="14"/>
      <c r="F417" s="15"/>
      <c r="G417" s="14"/>
      <c r="H417" s="14"/>
      <c r="I417" s="14"/>
      <c r="J417" s="14"/>
      <c r="K417" s="14"/>
      <c r="L417" s="16"/>
      <c r="M417" s="16"/>
      <c r="N417" s="17"/>
      <c r="O417" s="16"/>
      <c r="P417" s="14"/>
      <c r="Q417" s="15"/>
      <c r="R417" s="14"/>
      <c r="S417" s="18"/>
      <c r="T417" s="15"/>
      <c r="U417" s="14"/>
      <c r="V417" s="18"/>
      <c r="W417" s="14"/>
    </row>
    <row r="418" customFormat="false" ht="15" hidden="false" customHeight="false" outlineLevel="0" collapsed="false">
      <c r="A418" s="14"/>
      <c r="B418" s="14"/>
      <c r="C418" s="14"/>
      <c r="D418" s="14"/>
      <c r="E418" s="14"/>
      <c r="F418" s="15"/>
      <c r="G418" s="14"/>
      <c r="H418" s="14"/>
      <c r="I418" s="14"/>
      <c r="J418" s="14"/>
      <c r="K418" s="14"/>
      <c r="L418" s="16"/>
      <c r="M418" s="16"/>
      <c r="N418" s="17"/>
      <c r="O418" s="16"/>
      <c r="P418" s="14"/>
      <c r="Q418" s="15"/>
      <c r="R418" s="14"/>
      <c r="S418" s="18"/>
      <c r="T418" s="15"/>
      <c r="U418" s="14"/>
      <c r="V418" s="18"/>
      <c r="W418" s="14"/>
    </row>
    <row r="419" customFormat="false" ht="15" hidden="false" customHeight="false" outlineLevel="0" collapsed="false">
      <c r="A419" s="14"/>
      <c r="B419" s="14"/>
      <c r="C419" s="14"/>
      <c r="D419" s="14"/>
      <c r="E419" s="14"/>
      <c r="F419" s="15"/>
      <c r="G419" s="14"/>
      <c r="H419" s="14"/>
      <c r="I419" s="14"/>
      <c r="J419" s="14"/>
      <c r="K419" s="14"/>
      <c r="L419" s="16"/>
      <c r="M419" s="16"/>
      <c r="N419" s="17"/>
      <c r="O419" s="16"/>
      <c r="P419" s="14"/>
      <c r="Q419" s="15"/>
      <c r="R419" s="14"/>
      <c r="S419" s="18"/>
      <c r="T419" s="15"/>
      <c r="U419" s="14"/>
      <c r="V419" s="18"/>
      <c r="W419" s="14"/>
    </row>
    <row r="420" customFormat="false" ht="15" hidden="false" customHeight="false" outlineLevel="0" collapsed="false">
      <c r="A420" s="14"/>
      <c r="B420" s="14"/>
      <c r="C420" s="14"/>
      <c r="D420" s="14"/>
      <c r="E420" s="14"/>
      <c r="F420" s="15"/>
      <c r="G420" s="14"/>
      <c r="H420" s="14"/>
      <c r="I420" s="14"/>
      <c r="J420" s="14"/>
      <c r="K420" s="14"/>
      <c r="L420" s="16"/>
      <c r="M420" s="16"/>
      <c r="N420" s="17"/>
      <c r="O420" s="16"/>
      <c r="P420" s="14"/>
      <c r="Q420" s="15"/>
      <c r="R420" s="14"/>
      <c r="S420" s="18"/>
      <c r="T420" s="15"/>
      <c r="U420" s="14"/>
      <c r="V420" s="18"/>
      <c r="W420" s="14"/>
    </row>
    <row r="421" customFormat="false" ht="15" hidden="false" customHeight="false" outlineLevel="0" collapsed="false">
      <c r="A421" s="14"/>
      <c r="B421" s="14"/>
      <c r="C421" s="14"/>
      <c r="D421" s="14"/>
      <c r="E421" s="14"/>
      <c r="F421" s="15"/>
      <c r="G421" s="14"/>
      <c r="H421" s="14"/>
      <c r="I421" s="14"/>
      <c r="J421" s="14"/>
      <c r="K421" s="14"/>
      <c r="L421" s="16"/>
      <c r="M421" s="16"/>
      <c r="N421" s="17"/>
      <c r="O421" s="16"/>
      <c r="P421" s="14"/>
      <c r="Q421" s="15"/>
      <c r="R421" s="14"/>
      <c r="S421" s="18"/>
      <c r="T421" s="15"/>
      <c r="U421" s="14"/>
      <c r="V421" s="18"/>
      <c r="W421" s="14"/>
    </row>
    <row r="422" customFormat="false" ht="15" hidden="false" customHeight="false" outlineLevel="0" collapsed="false">
      <c r="A422" s="14"/>
      <c r="B422" s="14"/>
      <c r="C422" s="14"/>
      <c r="D422" s="14"/>
      <c r="E422" s="14"/>
      <c r="F422" s="15"/>
      <c r="G422" s="14"/>
      <c r="H422" s="14"/>
      <c r="I422" s="14"/>
      <c r="J422" s="14"/>
      <c r="K422" s="14"/>
      <c r="L422" s="16"/>
      <c r="M422" s="16"/>
      <c r="N422" s="17"/>
      <c r="O422" s="16"/>
      <c r="P422" s="14"/>
      <c r="Q422" s="15"/>
      <c r="R422" s="14"/>
      <c r="S422" s="18"/>
      <c r="T422" s="15"/>
      <c r="U422" s="14"/>
      <c r="V422" s="18"/>
      <c r="W422" s="14"/>
    </row>
    <row r="423" customFormat="false" ht="15" hidden="false" customHeight="false" outlineLevel="0" collapsed="false">
      <c r="A423" s="14"/>
      <c r="B423" s="14"/>
      <c r="C423" s="14"/>
      <c r="D423" s="14"/>
      <c r="E423" s="14"/>
      <c r="F423" s="15"/>
      <c r="G423" s="14"/>
      <c r="H423" s="14"/>
      <c r="I423" s="14"/>
      <c r="J423" s="14"/>
      <c r="K423" s="14"/>
      <c r="L423" s="16"/>
      <c r="M423" s="16"/>
      <c r="N423" s="17"/>
      <c r="O423" s="16"/>
      <c r="P423" s="14"/>
      <c r="Q423" s="15"/>
      <c r="R423" s="14"/>
      <c r="S423" s="18"/>
      <c r="T423" s="15"/>
      <c r="U423" s="14"/>
      <c r="V423" s="18"/>
      <c r="W423" s="14"/>
    </row>
    <row r="424" customFormat="false" ht="15" hidden="false" customHeight="false" outlineLevel="0" collapsed="false">
      <c r="A424" s="14"/>
      <c r="B424" s="14"/>
      <c r="C424" s="14"/>
      <c r="D424" s="14"/>
      <c r="E424" s="14"/>
      <c r="F424" s="15"/>
      <c r="G424" s="14"/>
      <c r="H424" s="14"/>
      <c r="I424" s="14"/>
      <c r="J424" s="14"/>
      <c r="K424" s="14"/>
      <c r="L424" s="16"/>
      <c r="M424" s="16"/>
      <c r="N424" s="17"/>
      <c r="O424" s="16"/>
      <c r="P424" s="14"/>
      <c r="Q424" s="15"/>
      <c r="R424" s="14"/>
      <c r="S424" s="18"/>
      <c r="T424" s="15"/>
      <c r="U424" s="14"/>
      <c r="V424" s="18"/>
      <c r="W424" s="14"/>
    </row>
    <row r="425" customFormat="false" ht="15" hidden="false" customHeight="false" outlineLevel="0" collapsed="false">
      <c r="A425" s="14"/>
      <c r="B425" s="14"/>
      <c r="C425" s="14"/>
      <c r="D425" s="14"/>
      <c r="E425" s="14"/>
      <c r="F425" s="15"/>
      <c r="G425" s="14"/>
      <c r="H425" s="14"/>
      <c r="I425" s="14"/>
      <c r="J425" s="14"/>
      <c r="K425" s="14"/>
      <c r="L425" s="16"/>
      <c r="M425" s="16"/>
      <c r="N425" s="17"/>
      <c r="O425" s="16"/>
      <c r="P425" s="14"/>
      <c r="Q425" s="15"/>
      <c r="R425" s="14"/>
      <c r="S425" s="18"/>
      <c r="T425" s="15"/>
      <c r="U425" s="14"/>
      <c r="V425" s="18"/>
      <c r="W425" s="14"/>
    </row>
    <row r="426" customFormat="false" ht="15" hidden="false" customHeight="false" outlineLevel="0" collapsed="false">
      <c r="A426" s="14"/>
      <c r="B426" s="14"/>
      <c r="C426" s="14"/>
      <c r="D426" s="14"/>
      <c r="E426" s="14"/>
      <c r="F426" s="15"/>
      <c r="G426" s="14"/>
      <c r="H426" s="14"/>
      <c r="I426" s="14"/>
      <c r="J426" s="14"/>
      <c r="K426" s="14"/>
      <c r="L426" s="16"/>
      <c r="M426" s="16"/>
      <c r="N426" s="17"/>
      <c r="O426" s="16"/>
      <c r="P426" s="14"/>
      <c r="Q426" s="15"/>
      <c r="R426" s="14"/>
      <c r="S426" s="18"/>
      <c r="T426" s="15"/>
      <c r="U426" s="14"/>
      <c r="V426" s="18"/>
      <c r="W426" s="14"/>
    </row>
    <row r="427" customFormat="false" ht="15" hidden="false" customHeight="false" outlineLevel="0" collapsed="false">
      <c r="A427" s="14"/>
      <c r="B427" s="14"/>
      <c r="C427" s="14"/>
      <c r="D427" s="14"/>
      <c r="E427" s="14"/>
      <c r="F427" s="15"/>
      <c r="G427" s="14"/>
      <c r="H427" s="14"/>
      <c r="I427" s="14"/>
      <c r="J427" s="14"/>
      <c r="K427" s="14"/>
      <c r="L427" s="16"/>
      <c r="M427" s="16"/>
      <c r="N427" s="17"/>
      <c r="O427" s="16"/>
      <c r="P427" s="14"/>
      <c r="Q427" s="15"/>
      <c r="R427" s="14"/>
      <c r="S427" s="18"/>
      <c r="T427" s="15"/>
      <c r="U427" s="14"/>
      <c r="V427" s="18"/>
      <c r="W427" s="14"/>
    </row>
    <row r="428" customFormat="false" ht="15" hidden="false" customHeight="false" outlineLevel="0" collapsed="false">
      <c r="A428" s="14"/>
      <c r="B428" s="14"/>
      <c r="C428" s="14"/>
      <c r="D428" s="14"/>
      <c r="E428" s="14"/>
      <c r="F428" s="15"/>
      <c r="G428" s="14"/>
      <c r="H428" s="14"/>
      <c r="I428" s="14"/>
      <c r="J428" s="14"/>
      <c r="K428" s="14"/>
      <c r="L428" s="16"/>
      <c r="M428" s="16"/>
      <c r="N428" s="17"/>
      <c r="O428" s="16"/>
      <c r="P428" s="14"/>
      <c r="Q428" s="15"/>
      <c r="R428" s="14"/>
      <c r="S428" s="18"/>
      <c r="T428" s="15"/>
      <c r="U428" s="14"/>
      <c r="V428" s="18"/>
      <c r="W428" s="14"/>
    </row>
    <row r="429" customFormat="false" ht="15" hidden="false" customHeight="false" outlineLevel="0" collapsed="false">
      <c r="A429" s="14"/>
      <c r="B429" s="14"/>
      <c r="C429" s="14"/>
      <c r="D429" s="14"/>
      <c r="E429" s="14"/>
      <c r="F429" s="15"/>
      <c r="G429" s="14"/>
      <c r="H429" s="14"/>
      <c r="I429" s="14"/>
      <c r="J429" s="14"/>
      <c r="K429" s="14"/>
      <c r="L429" s="16"/>
      <c r="M429" s="16"/>
      <c r="N429" s="17"/>
      <c r="O429" s="16"/>
      <c r="P429" s="14"/>
      <c r="Q429" s="15"/>
      <c r="R429" s="14"/>
      <c r="S429" s="18"/>
      <c r="T429" s="15"/>
      <c r="U429" s="14"/>
      <c r="V429" s="18"/>
      <c r="W429" s="14"/>
    </row>
    <row r="430" customFormat="false" ht="15" hidden="false" customHeight="false" outlineLevel="0" collapsed="false">
      <c r="A430" s="14"/>
      <c r="B430" s="14"/>
      <c r="C430" s="14"/>
      <c r="D430" s="14"/>
      <c r="E430" s="14"/>
      <c r="F430" s="15"/>
      <c r="G430" s="14"/>
      <c r="H430" s="14"/>
      <c r="I430" s="14"/>
      <c r="J430" s="14"/>
      <c r="K430" s="14"/>
      <c r="L430" s="16"/>
      <c r="M430" s="16"/>
      <c r="N430" s="17"/>
      <c r="O430" s="16"/>
      <c r="P430" s="14"/>
      <c r="Q430" s="15"/>
      <c r="R430" s="14"/>
      <c r="S430" s="18"/>
      <c r="T430" s="15"/>
      <c r="U430" s="14"/>
      <c r="V430" s="18"/>
      <c r="W430" s="14"/>
    </row>
    <row r="431" customFormat="false" ht="15" hidden="false" customHeight="false" outlineLevel="0" collapsed="false">
      <c r="A431" s="14"/>
      <c r="B431" s="14"/>
      <c r="C431" s="14"/>
      <c r="D431" s="14"/>
      <c r="E431" s="14"/>
      <c r="F431" s="15"/>
      <c r="G431" s="14"/>
      <c r="H431" s="14"/>
      <c r="I431" s="14"/>
      <c r="J431" s="14"/>
      <c r="K431" s="14"/>
      <c r="L431" s="16"/>
      <c r="M431" s="16"/>
      <c r="N431" s="17"/>
      <c r="O431" s="16"/>
      <c r="P431" s="14"/>
      <c r="Q431" s="15"/>
      <c r="R431" s="14"/>
      <c r="S431" s="18"/>
      <c r="T431" s="15"/>
      <c r="U431" s="14"/>
      <c r="V431" s="18"/>
      <c r="W431" s="14"/>
    </row>
    <row r="432" customFormat="false" ht="15" hidden="false" customHeight="false" outlineLevel="0" collapsed="false">
      <c r="A432" s="14"/>
      <c r="B432" s="14"/>
      <c r="C432" s="14"/>
      <c r="D432" s="14"/>
      <c r="E432" s="14"/>
      <c r="F432" s="15"/>
      <c r="G432" s="14"/>
      <c r="H432" s="14"/>
      <c r="I432" s="14"/>
      <c r="J432" s="14"/>
      <c r="K432" s="14"/>
      <c r="L432" s="16"/>
      <c r="M432" s="16"/>
      <c r="N432" s="17"/>
      <c r="O432" s="16"/>
      <c r="P432" s="14"/>
      <c r="Q432" s="15"/>
      <c r="R432" s="14"/>
      <c r="S432" s="18"/>
      <c r="T432" s="15"/>
      <c r="U432" s="14"/>
      <c r="V432" s="18"/>
      <c r="W432" s="14"/>
    </row>
    <row r="433" customFormat="false" ht="15" hidden="false" customHeight="false" outlineLevel="0" collapsed="false">
      <c r="A433" s="14"/>
      <c r="B433" s="14"/>
      <c r="C433" s="14"/>
      <c r="D433" s="14"/>
      <c r="E433" s="14"/>
      <c r="F433" s="15"/>
      <c r="G433" s="14"/>
      <c r="H433" s="14"/>
      <c r="I433" s="14"/>
      <c r="J433" s="14"/>
      <c r="K433" s="14"/>
      <c r="L433" s="16"/>
      <c r="M433" s="16"/>
      <c r="N433" s="17"/>
      <c r="O433" s="16"/>
      <c r="P433" s="14"/>
      <c r="Q433" s="15"/>
      <c r="R433" s="14"/>
      <c r="S433" s="18"/>
      <c r="T433" s="15"/>
      <c r="U433" s="14"/>
      <c r="V433" s="18"/>
      <c r="W433" s="14"/>
    </row>
    <row r="434" customFormat="false" ht="15" hidden="false" customHeight="false" outlineLevel="0" collapsed="false">
      <c r="A434" s="14"/>
      <c r="B434" s="14"/>
      <c r="C434" s="14"/>
      <c r="D434" s="14"/>
      <c r="E434" s="14"/>
      <c r="F434" s="15"/>
      <c r="G434" s="14"/>
      <c r="H434" s="14"/>
      <c r="I434" s="14"/>
      <c r="J434" s="14"/>
      <c r="K434" s="14"/>
      <c r="L434" s="16"/>
      <c r="M434" s="16"/>
      <c r="N434" s="17"/>
      <c r="O434" s="16"/>
      <c r="P434" s="14"/>
      <c r="Q434" s="15"/>
      <c r="R434" s="14"/>
      <c r="S434" s="18"/>
      <c r="T434" s="15"/>
      <c r="U434" s="14"/>
      <c r="V434" s="18"/>
      <c r="W434" s="14"/>
    </row>
    <row r="435" customFormat="false" ht="15" hidden="false" customHeight="false" outlineLevel="0" collapsed="false">
      <c r="A435" s="14"/>
      <c r="B435" s="14"/>
      <c r="C435" s="14"/>
      <c r="D435" s="14"/>
      <c r="E435" s="14"/>
      <c r="F435" s="15"/>
      <c r="G435" s="14"/>
      <c r="H435" s="14"/>
      <c r="I435" s="14"/>
      <c r="J435" s="14"/>
      <c r="K435" s="14"/>
      <c r="L435" s="16"/>
      <c r="M435" s="16"/>
      <c r="N435" s="17"/>
      <c r="O435" s="16"/>
      <c r="P435" s="14"/>
      <c r="Q435" s="15"/>
      <c r="R435" s="14"/>
      <c r="S435" s="18"/>
      <c r="T435" s="15"/>
      <c r="U435" s="14"/>
      <c r="V435" s="18"/>
      <c r="W435" s="14"/>
    </row>
    <row r="436" customFormat="false" ht="15" hidden="false" customHeight="false" outlineLevel="0" collapsed="false">
      <c r="A436" s="14"/>
      <c r="B436" s="14"/>
      <c r="C436" s="14"/>
      <c r="D436" s="14"/>
      <c r="E436" s="14"/>
      <c r="F436" s="15"/>
      <c r="G436" s="14"/>
      <c r="H436" s="14"/>
      <c r="I436" s="14"/>
      <c r="J436" s="14"/>
      <c r="K436" s="14"/>
      <c r="L436" s="16"/>
      <c r="M436" s="16"/>
      <c r="N436" s="17"/>
      <c r="O436" s="16"/>
      <c r="P436" s="14"/>
      <c r="Q436" s="15"/>
      <c r="R436" s="14"/>
      <c r="S436" s="18"/>
      <c r="T436" s="15"/>
      <c r="U436" s="14"/>
      <c r="V436" s="18"/>
      <c r="W436" s="14"/>
    </row>
    <row r="437" customFormat="false" ht="15" hidden="false" customHeight="false" outlineLevel="0" collapsed="false">
      <c r="A437" s="14"/>
      <c r="B437" s="14"/>
      <c r="C437" s="14"/>
      <c r="D437" s="14"/>
      <c r="E437" s="14"/>
      <c r="F437" s="15"/>
      <c r="G437" s="14"/>
      <c r="H437" s="14"/>
      <c r="I437" s="14"/>
      <c r="J437" s="14"/>
      <c r="K437" s="14"/>
      <c r="L437" s="16"/>
      <c r="M437" s="16"/>
      <c r="N437" s="17"/>
      <c r="O437" s="16"/>
      <c r="P437" s="14"/>
      <c r="Q437" s="15"/>
      <c r="R437" s="14"/>
      <c r="S437" s="18"/>
      <c r="T437" s="15"/>
      <c r="U437" s="14"/>
      <c r="V437" s="18"/>
      <c r="W437" s="14"/>
    </row>
    <row r="438" customFormat="false" ht="15" hidden="false" customHeight="false" outlineLevel="0" collapsed="false">
      <c r="A438" s="14"/>
      <c r="B438" s="14"/>
      <c r="C438" s="14"/>
      <c r="D438" s="14"/>
      <c r="E438" s="14"/>
      <c r="F438" s="15"/>
      <c r="G438" s="14"/>
      <c r="H438" s="14"/>
      <c r="I438" s="14"/>
      <c r="J438" s="14"/>
      <c r="K438" s="14"/>
      <c r="L438" s="16"/>
      <c r="M438" s="16"/>
      <c r="N438" s="17"/>
      <c r="O438" s="16"/>
      <c r="P438" s="14"/>
      <c r="Q438" s="15"/>
      <c r="R438" s="14"/>
      <c r="S438" s="18"/>
      <c r="T438" s="15"/>
      <c r="U438" s="14"/>
      <c r="V438" s="18"/>
      <c r="W438" s="14"/>
    </row>
    <row r="439" customFormat="false" ht="15" hidden="false" customHeight="false" outlineLevel="0" collapsed="false">
      <c r="A439" s="14"/>
      <c r="B439" s="14"/>
      <c r="C439" s="14"/>
      <c r="D439" s="14"/>
      <c r="E439" s="14"/>
      <c r="F439" s="15"/>
      <c r="G439" s="14"/>
      <c r="H439" s="14"/>
      <c r="I439" s="14"/>
      <c r="J439" s="14"/>
      <c r="K439" s="14"/>
      <c r="L439" s="16"/>
      <c r="M439" s="16"/>
      <c r="N439" s="17"/>
      <c r="O439" s="16"/>
      <c r="P439" s="14"/>
      <c r="Q439" s="15"/>
      <c r="R439" s="14"/>
      <c r="S439" s="18"/>
      <c r="T439" s="15"/>
      <c r="U439" s="14"/>
      <c r="V439" s="18"/>
      <c r="W439" s="14"/>
    </row>
    <row r="440" customFormat="false" ht="15" hidden="false" customHeight="false" outlineLevel="0" collapsed="false">
      <c r="A440" s="14"/>
      <c r="B440" s="14"/>
      <c r="C440" s="14"/>
      <c r="D440" s="14"/>
      <c r="E440" s="14"/>
      <c r="F440" s="15"/>
      <c r="G440" s="14"/>
      <c r="H440" s="14"/>
      <c r="I440" s="14"/>
      <c r="J440" s="14"/>
      <c r="K440" s="14"/>
      <c r="L440" s="16"/>
      <c r="M440" s="16"/>
      <c r="N440" s="17"/>
      <c r="O440" s="16"/>
      <c r="P440" s="14"/>
      <c r="Q440" s="15"/>
      <c r="R440" s="14"/>
      <c r="S440" s="18"/>
      <c r="T440" s="15"/>
      <c r="U440" s="14"/>
      <c r="V440" s="18"/>
      <c r="W440" s="14"/>
    </row>
    <row r="441" customFormat="false" ht="15" hidden="false" customHeight="false" outlineLevel="0" collapsed="false">
      <c r="A441" s="14"/>
      <c r="B441" s="14"/>
      <c r="C441" s="14"/>
      <c r="D441" s="14"/>
      <c r="E441" s="14"/>
      <c r="F441" s="15"/>
      <c r="G441" s="14"/>
      <c r="H441" s="14"/>
      <c r="I441" s="14"/>
      <c r="J441" s="14"/>
      <c r="K441" s="14"/>
      <c r="L441" s="16"/>
      <c r="M441" s="16"/>
      <c r="N441" s="17"/>
      <c r="O441" s="16"/>
      <c r="P441" s="14"/>
      <c r="Q441" s="15"/>
      <c r="R441" s="14"/>
      <c r="S441" s="18"/>
      <c r="T441" s="15"/>
      <c r="U441" s="14"/>
      <c r="V441" s="18"/>
      <c r="W441" s="14"/>
    </row>
    <row r="442" customFormat="false" ht="15" hidden="false" customHeight="false" outlineLevel="0" collapsed="false">
      <c r="A442" s="14"/>
      <c r="B442" s="14"/>
      <c r="C442" s="14"/>
      <c r="D442" s="14"/>
      <c r="E442" s="14"/>
      <c r="F442" s="15"/>
      <c r="G442" s="14"/>
      <c r="H442" s="14"/>
      <c r="I442" s="14"/>
      <c r="J442" s="14"/>
      <c r="K442" s="14"/>
      <c r="L442" s="16"/>
      <c r="M442" s="16"/>
      <c r="N442" s="17"/>
      <c r="O442" s="16"/>
      <c r="P442" s="14"/>
      <c r="Q442" s="15"/>
      <c r="R442" s="14"/>
      <c r="S442" s="18"/>
      <c r="T442" s="15"/>
      <c r="U442" s="14"/>
      <c r="V442" s="18"/>
      <c r="W442" s="14"/>
    </row>
    <row r="443" customFormat="false" ht="15" hidden="false" customHeight="false" outlineLevel="0" collapsed="false">
      <c r="A443" s="14"/>
      <c r="B443" s="14"/>
      <c r="C443" s="14"/>
      <c r="D443" s="14"/>
      <c r="E443" s="14"/>
      <c r="F443" s="15"/>
      <c r="G443" s="14"/>
      <c r="H443" s="14"/>
      <c r="I443" s="14"/>
      <c r="J443" s="14"/>
      <c r="K443" s="14"/>
      <c r="L443" s="16"/>
      <c r="M443" s="16"/>
      <c r="N443" s="17"/>
      <c r="O443" s="16"/>
      <c r="P443" s="14"/>
      <c r="Q443" s="15"/>
      <c r="R443" s="14"/>
      <c r="S443" s="18"/>
      <c r="T443" s="15"/>
      <c r="U443" s="14"/>
      <c r="V443" s="18"/>
      <c r="W443" s="14"/>
    </row>
    <row r="444" customFormat="false" ht="15" hidden="false" customHeight="false" outlineLevel="0" collapsed="false">
      <c r="A444" s="14"/>
      <c r="B444" s="14"/>
      <c r="C444" s="14"/>
      <c r="D444" s="14"/>
      <c r="E444" s="14"/>
      <c r="F444" s="15"/>
      <c r="G444" s="14"/>
      <c r="H444" s="14"/>
      <c r="I444" s="14"/>
      <c r="J444" s="14"/>
      <c r="K444" s="14"/>
      <c r="L444" s="16"/>
      <c r="M444" s="16"/>
      <c r="N444" s="17"/>
      <c r="O444" s="16"/>
      <c r="P444" s="14"/>
      <c r="Q444" s="15"/>
      <c r="R444" s="14"/>
      <c r="S444" s="18"/>
      <c r="T444" s="15"/>
      <c r="U444" s="14"/>
      <c r="V444" s="18"/>
      <c r="W444" s="14"/>
    </row>
    <row r="445" customFormat="false" ht="15" hidden="false" customHeight="false" outlineLevel="0" collapsed="false">
      <c r="A445" s="14"/>
      <c r="B445" s="14"/>
      <c r="C445" s="14"/>
      <c r="D445" s="14"/>
      <c r="E445" s="14"/>
      <c r="F445" s="15"/>
      <c r="G445" s="14"/>
      <c r="H445" s="14"/>
      <c r="I445" s="14"/>
      <c r="J445" s="14"/>
      <c r="K445" s="14"/>
      <c r="L445" s="16"/>
      <c r="M445" s="16"/>
      <c r="N445" s="17"/>
      <c r="O445" s="16"/>
      <c r="P445" s="14"/>
      <c r="Q445" s="15"/>
      <c r="R445" s="14"/>
      <c r="S445" s="18"/>
      <c r="T445" s="15"/>
      <c r="U445" s="14"/>
      <c r="V445" s="18"/>
      <c r="W445" s="14"/>
    </row>
    <row r="446" customFormat="false" ht="15" hidden="false" customHeight="false" outlineLevel="0" collapsed="false">
      <c r="A446" s="14"/>
      <c r="B446" s="14"/>
      <c r="C446" s="14"/>
      <c r="D446" s="14"/>
      <c r="E446" s="14"/>
      <c r="F446" s="15"/>
      <c r="G446" s="14"/>
      <c r="H446" s="14"/>
      <c r="I446" s="14"/>
      <c r="J446" s="14"/>
      <c r="K446" s="14"/>
      <c r="L446" s="16"/>
      <c r="M446" s="16"/>
      <c r="N446" s="17"/>
      <c r="O446" s="16"/>
      <c r="P446" s="14"/>
      <c r="Q446" s="15"/>
      <c r="R446" s="14"/>
      <c r="S446" s="18"/>
      <c r="T446" s="15"/>
      <c r="U446" s="14"/>
      <c r="V446" s="18"/>
      <c r="W446" s="14"/>
    </row>
    <row r="447" customFormat="false" ht="15" hidden="false" customHeight="false" outlineLevel="0" collapsed="false">
      <c r="A447" s="14"/>
      <c r="B447" s="14"/>
      <c r="C447" s="14"/>
      <c r="D447" s="14"/>
      <c r="E447" s="14"/>
      <c r="F447" s="15"/>
      <c r="G447" s="14"/>
      <c r="H447" s="14"/>
      <c r="I447" s="14"/>
      <c r="J447" s="14"/>
      <c r="K447" s="14"/>
      <c r="L447" s="16"/>
      <c r="M447" s="16"/>
      <c r="N447" s="17"/>
      <c r="O447" s="16"/>
      <c r="P447" s="14"/>
      <c r="Q447" s="15"/>
      <c r="R447" s="14"/>
      <c r="S447" s="18"/>
      <c r="T447" s="15"/>
      <c r="U447" s="14"/>
      <c r="V447" s="18"/>
      <c r="W447" s="14"/>
    </row>
    <row r="448" customFormat="false" ht="15" hidden="false" customHeight="false" outlineLevel="0" collapsed="false">
      <c r="A448" s="14"/>
      <c r="B448" s="14"/>
      <c r="C448" s="14"/>
      <c r="D448" s="14"/>
      <c r="E448" s="14"/>
      <c r="F448" s="15"/>
      <c r="G448" s="14"/>
      <c r="H448" s="14"/>
      <c r="I448" s="14"/>
      <c r="J448" s="14"/>
      <c r="K448" s="14"/>
      <c r="L448" s="16"/>
      <c r="M448" s="16"/>
      <c r="N448" s="17"/>
      <c r="O448" s="16"/>
      <c r="P448" s="14"/>
      <c r="Q448" s="15"/>
      <c r="R448" s="14"/>
      <c r="S448" s="18"/>
      <c r="T448" s="15"/>
      <c r="U448" s="14"/>
      <c r="V448" s="18"/>
      <c r="W448" s="14"/>
    </row>
    <row r="449" customFormat="false" ht="15" hidden="false" customHeight="false" outlineLevel="0" collapsed="false">
      <c r="A449" s="14"/>
      <c r="B449" s="14"/>
      <c r="C449" s="14"/>
      <c r="D449" s="14"/>
      <c r="E449" s="14"/>
      <c r="F449" s="15"/>
      <c r="G449" s="14"/>
      <c r="H449" s="14"/>
      <c r="I449" s="14"/>
      <c r="J449" s="14"/>
      <c r="K449" s="14"/>
      <c r="L449" s="16"/>
      <c r="M449" s="16"/>
      <c r="N449" s="17"/>
      <c r="O449" s="16"/>
      <c r="P449" s="14"/>
      <c r="Q449" s="15"/>
      <c r="R449" s="14"/>
      <c r="S449" s="18"/>
      <c r="T449" s="15"/>
      <c r="U449" s="14"/>
      <c r="V449" s="18"/>
      <c r="W449" s="14"/>
    </row>
    <row r="450" customFormat="false" ht="15" hidden="false" customHeight="false" outlineLevel="0" collapsed="false">
      <c r="A450" s="14"/>
      <c r="B450" s="14"/>
      <c r="C450" s="14"/>
      <c r="D450" s="14"/>
      <c r="E450" s="14"/>
      <c r="F450" s="15"/>
      <c r="G450" s="14"/>
      <c r="H450" s="14"/>
      <c r="I450" s="14"/>
      <c r="J450" s="14"/>
      <c r="K450" s="14"/>
      <c r="L450" s="16"/>
      <c r="M450" s="16"/>
      <c r="N450" s="17"/>
      <c r="O450" s="16"/>
      <c r="P450" s="14"/>
      <c r="Q450" s="15"/>
      <c r="R450" s="14"/>
      <c r="S450" s="18"/>
      <c r="T450" s="15"/>
      <c r="U450" s="14"/>
      <c r="V450" s="18"/>
      <c r="W450" s="14"/>
    </row>
    <row r="451" customFormat="false" ht="15" hidden="false" customHeight="false" outlineLevel="0" collapsed="false">
      <c r="A451" s="14"/>
      <c r="B451" s="14"/>
      <c r="C451" s="14"/>
      <c r="D451" s="14"/>
      <c r="E451" s="14"/>
      <c r="F451" s="15"/>
      <c r="G451" s="14"/>
      <c r="H451" s="14"/>
      <c r="I451" s="14"/>
      <c r="J451" s="14"/>
      <c r="K451" s="14"/>
      <c r="L451" s="16"/>
      <c r="M451" s="16"/>
      <c r="N451" s="17"/>
      <c r="O451" s="16"/>
      <c r="P451" s="14"/>
      <c r="Q451" s="15"/>
      <c r="R451" s="14"/>
      <c r="S451" s="18"/>
      <c r="T451" s="15"/>
      <c r="U451" s="14"/>
      <c r="V451" s="18"/>
      <c r="W451" s="14"/>
    </row>
    <row r="452" customFormat="false" ht="15" hidden="false" customHeight="false" outlineLevel="0" collapsed="false">
      <c r="A452" s="14"/>
      <c r="B452" s="14"/>
      <c r="C452" s="14"/>
      <c r="D452" s="14"/>
      <c r="E452" s="14"/>
      <c r="F452" s="15"/>
      <c r="G452" s="14"/>
      <c r="H452" s="14"/>
      <c r="I452" s="14"/>
      <c r="J452" s="14"/>
      <c r="K452" s="14"/>
      <c r="L452" s="16"/>
      <c r="M452" s="16"/>
      <c r="N452" s="17"/>
      <c r="O452" s="16"/>
      <c r="P452" s="14"/>
      <c r="Q452" s="15"/>
      <c r="R452" s="14"/>
      <c r="S452" s="18"/>
      <c r="T452" s="15"/>
      <c r="U452" s="14"/>
      <c r="V452" s="18"/>
      <c r="W452" s="14"/>
    </row>
    <row r="453" customFormat="false" ht="15" hidden="false" customHeight="false" outlineLevel="0" collapsed="false">
      <c r="A453" s="14"/>
      <c r="B453" s="14"/>
      <c r="C453" s="14"/>
      <c r="D453" s="14"/>
      <c r="E453" s="14"/>
      <c r="F453" s="15"/>
      <c r="G453" s="14"/>
      <c r="H453" s="14"/>
      <c r="I453" s="14"/>
      <c r="J453" s="14"/>
      <c r="K453" s="14"/>
      <c r="L453" s="16"/>
      <c r="M453" s="16"/>
      <c r="N453" s="17"/>
      <c r="O453" s="16"/>
      <c r="P453" s="14"/>
      <c r="Q453" s="15"/>
      <c r="R453" s="14"/>
      <c r="S453" s="18"/>
      <c r="T453" s="15"/>
      <c r="U453" s="14"/>
      <c r="V453" s="18"/>
      <c r="W453" s="14"/>
    </row>
    <row r="454" customFormat="false" ht="15" hidden="false" customHeight="false" outlineLevel="0" collapsed="false">
      <c r="A454" s="14"/>
      <c r="B454" s="14"/>
      <c r="C454" s="14"/>
      <c r="D454" s="14"/>
      <c r="E454" s="14"/>
      <c r="F454" s="15"/>
      <c r="G454" s="14"/>
      <c r="H454" s="14"/>
      <c r="I454" s="14"/>
      <c r="J454" s="14"/>
      <c r="K454" s="14"/>
      <c r="L454" s="16"/>
      <c r="M454" s="16"/>
      <c r="N454" s="17"/>
      <c r="O454" s="16"/>
      <c r="P454" s="14"/>
      <c r="Q454" s="15"/>
      <c r="R454" s="14"/>
      <c r="S454" s="18"/>
      <c r="T454" s="15"/>
      <c r="U454" s="14"/>
      <c r="V454" s="18"/>
      <c r="W454" s="14"/>
    </row>
    <row r="455" customFormat="false" ht="15" hidden="false" customHeight="false" outlineLevel="0" collapsed="false">
      <c r="A455" s="14"/>
      <c r="B455" s="14"/>
      <c r="C455" s="14"/>
      <c r="D455" s="14"/>
      <c r="E455" s="14"/>
      <c r="F455" s="15"/>
      <c r="G455" s="14"/>
      <c r="H455" s="14"/>
      <c r="I455" s="14"/>
      <c r="J455" s="14"/>
      <c r="K455" s="14"/>
      <c r="L455" s="16"/>
      <c r="M455" s="16"/>
      <c r="N455" s="17"/>
      <c r="O455" s="16"/>
      <c r="P455" s="14"/>
      <c r="Q455" s="15"/>
      <c r="R455" s="14"/>
      <c r="S455" s="18"/>
      <c r="T455" s="15"/>
      <c r="U455" s="14"/>
      <c r="V455" s="18"/>
      <c r="W455" s="14"/>
    </row>
    <row r="456" customFormat="false" ht="15" hidden="false" customHeight="false" outlineLevel="0" collapsed="false">
      <c r="A456" s="14"/>
      <c r="B456" s="14"/>
      <c r="C456" s="14"/>
      <c r="D456" s="14"/>
      <c r="E456" s="14"/>
      <c r="F456" s="15"/>
      <c r="G456" s="14"/>
      <c r="H456" s="14"/>
      <c r="I456" s="14"/>
      <c r="J456" s="14"/>
      <c r="K456" s="14"/>
      <c r="L456" s="16"/>
      <c r="M456" s="16"/>
      <c r="N456" s="17"/>
      <c r="O456" s="16"/>
      <c r="P456" s="14"/>
      <c r="Q456" s="15"/>
      <c r="R456" s="14"/>
      <c r="S456" s="18"/>
      <c r="T456" s="15"/>
      <c r="U456" s="14"/>
      <c r="V456" s="18"/>
      <c r="W456" s="14"/>
    </row>
    <row r="457" customFormat="false" ht="15" hidden="false" customHeight="false" outlineLevel="0" collapsed="false">
      <c r="A457" s="14"/>
      <c r="B457" s="14"/>
      <c r="C457" s="14"/>
      <c r="D457" s="14"/>
      <c r="E457" s="14"/>
      <c r="F457" s="15"/>
      <c r="G457" s="14"/>
      <c r="H457" s="14"/>
      <c r="I457" s="14"/>
      <c r="J457" s="14"/>
      <c r="K457" s="14"/>
      <c r="L457" s="16"/>
      <c r="M457" s="16"/>
      <c r="N457" s="17"/>
      <c r="O457" s="16"/>
      <c r="P457" s="14"/>
      <c r="Q457" s="15"/>
      <c r="R457" s="14"/>
      <c r="S457" s="18"/>
      <c r="T457" s="15"/>
      <c r="U457" s="14"/>
      <c r="V457" s="18"/>
      <c r="W457" s="14"/>
    </row>
    <row r="458" customFormat="false" ht="15" hidden="false" customHeight="false" outlineLevel="0" collapsed="false">
      <c r="A458" s="14"/>
      <c r="B458" s="14"/>
      <c r="C458" s="14"/>
      <c r="D458" s="14"/>
      <c r="E458" s="14"/>
      <c r="F458" s="15"/>
      <c r="G458" s="14"/>
      <c r="H458" s="14"/>
      <c r="I458" s="14"/>
      <c r="J458" s="14"/>
      <c r="K458" s="14"/>
      <c r="L458" s="16"/>
      <c r="M458" s="16"/>
      <c r="N458" s="17"/>
      <c r="O458" s="16"/>
      <c r="P458" s="14"/>
      <c r="Q458" s="15"/>
      <c r="R458" s="14"/>
      <c r="S458" s="18"/>
      <c r="T458" s="15"/>
      <c r="U458" s="14"/>
      <c r="V458" s="18"/>
      <c r="W458" s="14"/>
    </row>
    <row r="459" customFormat="false" ht="15" hidden="false" customHeight="false" outlineLevel="0" collapsed="false">
      <c r="A459" s="14"/>
      <c r="B459" s="14"/>
      <c r="C459" s="14"/>
      <c r="D459" s="14"/>
      <c r="E459" s="14"/>
      <c r="F459" s="15"/>
      <c r="G459" s="14"/>
      <c r="H459" s="14"/>
      <c r="I459" s="14"/>
      <c r="J459" s="14"/>
      <c r="K459" s="14"/>
      <c r="L459" s="16"/>
      <c r="M459" s="16"/>
      <c r="N459" s="17"/>
      <c r="O459" s="16"/>
      <c r="P459" s="14"/>
      <c r="Q459" s="15"/>
      <c r="R459" s="14"/>
      <c r="S459" s="18"/>
      <c r="T459" s="15"/>
      <c r="U459" s="14"/>
      <c r="V459" s="18"/>
      <c r="W459" s="14"/>
    </row>
    <row r="460" customFormat="false" ht="15" hidden="false" customHeight="false" outlineLevel="0" collapsed="false">
      <c r="A460" s="14"/>
      <c r="B460" s="14"/>
      <c r="C460" s="14"/>
      <c r="D460" s="14"/>
      <c r="E460" s="14"/>
      <c r="F460" s="15"/>
      <c r="G460" s="14"/>
      <c r="H460" s="14"/>
      <c r="I460" s="14"/>
      <c r="J460" s="14"/>
      <c r="K460" s="14"/>
      <c r="L460" s="16"/>
      <c r="M460" s="16"/>
      <c r="N460" s="17"/>
      <c r="O460" s="16"/>
      <c r="P460" s="14"/>
      <c r="Q460" s="15"/>
      <c r="R460" s="14"/>
      <c r="S460" s="18"/>
      <c r="T460" s="15"/>
      <c r="U460" s="14"/>
      <c r="V460" s="18"/>
      <c r="W460" s="14"/>
    </row>
    <row r="461" customFormat="false" ht="15" hidden="false" customHeight="false" outlineLevel="0" collapsed="false">
      <c r="A461" s="14"/>
      <c r="B461" s="14"/>
      <c r="C461" s="14"/>
      <c r="D461" s="14"/>
      <c r="E461" s="14"/>
      <c r="F461" s="15"/>
      <c r="G461" s="14"/>
      <c r="H461" s="14"/>
      <c r="I461" s="14"/>
      <c r="J461" s="14"/>
      <c r="K461" s="14"/>
      <c r="L461" s="16"/>
      <c r="M461" s="16"/>
      <c r="N461" s="17"/>
      <c r="O461" s="16"/>
      <c r="P461" s="14"/>
      <c r="Q461" s="15"/>
      <c r="R461" s="14"/>
      <c r="S461" s="18"/>
      <c r="T461" s="15"/>
      <c r="U461" s="14"/>
      <c r="V461" s="18"/>
      <c r="W461" s="14"/>
    </row>
    <row r="462" customFormat="false" ht="15" hidden="false" customHeight="false" outlineLevel="0" collapsed="false">
      <c r="A462" s="14"/>
      <c r="B462" s="14"/>
      <c r="C462" s="14"/>
      <c r="D462" s="14"/>
      <c r="E462" s="14"/>
      <c r="F462" s="15"/>
      <c r="G462" s="14"/>
      <c r="H462" s="14"/>
      <c r="I462" s="14"/>
      <c r="J462" s="14"/>
      <c r="K462" s="14"/>
      <c r="L462" s="16"/>
      <c r="M462" s="16"/>
      <c r="N462" s="17"/>
      <c r="O462" s="16"/>
      <c r="P462" s="14"/>
      <c r="Q462" s="15"/>
      <c r="R462" s="14"/>
      <c r="S462" s="18"/>
      <c r="T462" s="15"/>
      <c r="U462" s="14"/>
      <c r="V462" s="18"/>
      <c r="W462" s="14"/>
    </row>
    <row r="463" customFormat="false" ht="15" hidden="false" customHeight="false" outlineLevel="0" collapsed="false">
      <c r="A463" s="14"/>
      <c r="B463" s="14"/>
      <c r="C463" s="14"/>
      <c r="D463" s="14"/>
      <c r="E463" s="14"/>
      <c r="F463" s="15"/>
      <c r="G463" s="14"/>
      <c r="H463" s="14"/>
      <c r="I463" s="14"/>
      <c r="J463" s="14"/>
      <c r="K463" s="14"/>
      <c r="L463" s="16"/>
      <c r="M463" s="16"/>
      <c r="N463" s="17"/>
      <c r="O463" s="16"/>
      <c r="P463" s="14"/>
      <c r="Q463" s="15"/>
      <c r="R463" s="14"/>
      <c r="S463" s="18"/>
      <c r="T463" s="15"/>
      <c r="U463" s="14"/>
      <c r="V463" s="18"/>
      <c r="W463" s="14"/>
    </row>
    <row r="464" customFormat="false" ht="15" hidden="false" customHeight="false" outlineLevel="0" collapsed="false">
      <c r="A464" s="14"/>
      <c r="B464" s="14"/>
      <c r="C464" s="14"/>
      <c r="D464" s="14"/>
      <c r="E464" s="14"/>
      <c r="F464" s="15"/>
      <c r="G464" s="14"/>
      <c r="H464" s="14"/>
      <c r="I464" s="14"/>
      <c r="J464" s="14"/>
      <c r="K464" s="14"/>
      <c r="L464" s="16"/>
      <c r="M464" s="16"/>
      <c r="N464" s="17"/>
      <c r="O464" s="16"/>
      <c r="P464" s="14"/>
      <c r="Q464" s="15"/>
      <c r="R464" s="14"/>
      <c r="S464" s="18"/>
      <c r="T464" s="15"/>
      <c r="U464" s="14"/>
      <c r="V464" s="18"/>
      <c r="W464" s="14"/>
    </row>
    <row r="465" customFormat="false" ht="15" hidden="false" customHeight="false" outlineLevel="0" collapsed="false">
      <c r="A465" s="14"/>
      <c r="B465" s="14"/>
      <c r="C465" s="14"/>
      <c r="D465" s="14"/>
      <c r="E465" s="14"/>
      <c r="F465" s="15"/>
      <c r="G465" s="14"/>
      <c r="H465" s="14"/>
      <c r="I465" s="14"/>
      <c r="J465" s="14"/>
      <c r="K465" s="14"/>
      <c r="L465" s="16"/>
      <c r="M465" s="16"/>
      <c r="N465" s="17"/>
      <c r="O465" s="16"/>
      <c r="P465" s="14"/>
      <c r="Q465" s="15"/>
      <c r="R465" s="14"/>
      <c r="S465" s="18"/>
      <c r="T465" s="15"/>
      <c r="U465" s="14"/>
      <c r="V465" s="18"/>
      <c r="W465" s="14"/>
    </row>
    <row r="466" customFormat="false" ht="15" hidden="false" customHeight="false" outlineLevel="0" collapsed="false">
      <c r="A466" s="14"/>
      <c r="B466" s="14"/>
      <c r="C466" s="14"/>
      <c r="D466" s="14"/>
      <c r="E466" s="14"/>
      <c r="F466" s="15"/>
      <c r="G466" s="14"/>
      <c r="H466" s="14"/>
      <c r="I466" s="14"/>
      <c r="J466" s="14"/>
      <c r="K466" s="14"/>
      <c r="L466" s="16"/>
      <c r="M466" s="16"/>
      <c r="N466" s="17"/>
      <c r="O466" s="16"/>
      <c r="P466" s="14"/>
      <c r="Q466" s="15"/>
      <c r="R466" s="14"/>
      <c r="S466" s="18"/>
      <c r="T466" s="15"/>
      <c r="U466" s="14"/>
      <c r="V466" s="18"/>
      <c r="W466" s="14"/>
    </row>
    <row r="467" customFormat="false" ht="15" hidden="false" customHeight="false" outlineLevel="0" collapsed="false">
      <c r="A467" s="14"/>
      <c r="B467" s="14"/>
      <c r="C467" s="14"/>
      <c r="D467" s="14"/>
      <c r="E467" s="14"/>
      <c r="F467" s="15"/>
      <c r="G467" s="14"/>
      <c r="H467" s="14"/>
      <c r="I467" s="14"/>
      <c r="J467" s="14"/>
      <c r="K467" s="14"/>
      <c r="L467" s="16"/>
      <c r="M467" s="16"/>
      <c r="N467" s="17"/>
      <c r="O467" s="16"/>
      <c r="P467" s="14"/>
      <c r="Q467" s="15"/>
      <c r="R467" s="14"/>
      <c r="S467" s="18"/>
      <c r="T467" s="15"/>
      <c r="U467" s="14"/>
      <c r="V467" s="18"/>
      <c r="W467" s="14"/>
    </row>
    <row r="468" customFormat="false" ht="15" hidden="false" customHeight="false" outlineLevel="0" collapsed="false">
      <c r="A468" s="14"/>
      <c r="B468" s="14"/>
      <c r="C468" s="14"/>
      <c r="D468" s="14"/>
      <c r="E468" s="14"/>
      <c r="F468" s="15"/>
      <c r="G468" s="14"/>
      <c r="H468" s="14"/>
      <c r="I468" s="14"/>
      <c r="J468" s="14"/>
      <c r="K468" s="14"/>
      <c r="L468" s="16"/>
      <c r="M468" s="16"/>
      <c r="N468" s="17"/>
      <c r="O468" s="16"/>
      <c r="P468" s="14"/>
      <c r="Q468" s="15"/>
      <c r="R468" s="14"/>
      <c r="S468" s="18"/>
      <c r="T468" s="15"/>
      <c r="U468" s="14"/>
      <c r="V468" s="18"/>
      <c r="W468" s="14"/>
    </row>
    <row r="469" customFormat="false" ht="15" hidden="false" customHeight="false" outlineLevel="0" collapsed="false">
      <c r="A469" s="14"/>
      <c r="B469" s="14"/>
      <c r="C469" s="14"/>
      <c r="D469" s="14"/>
      <c r="E469" s="14"/>
      <c r="F469" s="15"/>
      <c r="G469" s="14"/>
      <c r="H469" s="14"/>
      <c r="I469" s="14"/>
      <c r="J469" s="14"/>
      <c r="K469" s="14"/>
      <c r="L469" s="16"/>
      <c r="M469" s="16"/>
      <c r="N469" s="17"/>
      <c r="O469" s="16"/>
      <c r="P469" s="14"/>
      <c r="Q469" s="15"/>
      <c r="R469" s="14"/>
      <c r="S469" s="18"/>
      <c r="T469" s="15"/>
      <c r="U469" s="14"/>
      <c r="V469" s="18"/>
      <c r="W469" s="14"/>
    </row>
    <row r="470" customFormat="false" ht="15" hidden="false" customHeight="false" outlineLevel="0" collapsed="false">
      <c r="A470" s="14"/>
      <c r="B470" s="14"/>
      <c r="C470" s="14"/>
      <c r="D470" s="14"/>
      <c r="E470" s="14"/>
      <c r="F470" s="15"/>
      <c r="G470" s="14"/>
      <c r="H470" s="14"/>
      <c r="I470" s="14"/>
      <c r="J470" s="14"/>
      <c r="K470" s="14"/>
      <c r="L470" s="16"/>
      <c r="M470" s="16"/>
      <c r="N470" s="17"/>
      <c r="O470" s="16"/>
      <c r="P470" s="14"/>
      <c r="Q470" s="15"/>
      <c r="R470" s="14"/>
      <c r="S470" s="18"/>
      <c r="T470" s="15"/>
      <c r="U470" s="14"/>
      <c r="V470" s="18"/>
      <c r="W470" s="14"/>
    </row>
    <row r="471" customFormat="false" ht="15" hidden="false" customHeight="false" outlineLevel="0" collapsed="false">
      <c r="A471" s="14"/>
      <c r="B471" s="14"/>
      <c r="C471" s="14"/>
      <c r="D471" s="14"/>
      <c r="E471" s="14"/>
      <c r="F471" s="15"/>
      <c r="G471" s="14"/>
      <c r="H471" s="14"/>
      <c r="I471" s="14"/>
      <c r="J471" s="14"/>
      <c r="K471" s="14"/>
      <c r="L471" s="16"/>
      <c r="M471" s="16"/>
      <c r="N471" s="17"/>
      <c r="O471" s="16"/>
      <c r="P471" s="14"/>
      <c r="Q471" s="15"/>
      <c r="R471" s="14"/>
      <c r="S471" s="18"/>
      <c r="T471" s="15"/>
      <c r="U471" s="14"/>
      <c r="V471" s="18"/>
      <c r="W471" s="14"/>
    </row>
    <row r="472" customFormat="false" ht="15" hidden="false" customHeight="false" outlineLevel="0" collapsed="false">
      <c r="A472" s="14"/>
      <c r="B472" s="14"/>
      <c r="C472" s="14"/>
      <c r="D472" s="14"/>
      <c r="E472" s="14"/>
      <c r="F472" s="15"/>
      <c r="G472" s="14"/>
      <c r="H472" s="14"/>
      <c r="I472" s="14"/>
      <c r="J472" s="14"/>
      <c r="K472" s="14"/>
      <c r="L472" s="16"/>
      <c r="M472" s="16"/>
      <c r="N472" s="17"/>
      <c r="O472" s="16"/>
      <c r="P472" s="14"/>
      <c r="Q472" s="15"/>
      <c r="R472" s="14"/>
      <c r="S472" s="18"/>
      <c r="T472" s="15"/>
      <c r="U472" s="14"/>
      <c r="V472" s="18"/>
      <c r="W472" s="14"/>
    </row>
    <row r="473" customFormat="false" ht="15" hidden="false" customHeight="false" outlineLevel="0" collapsed="false">
      <c r="A473" s="14"/>
      <c r="B473" s="14"/>
      <c r="C473" s="14"/>
      <c r="D473" s="14"/>
      <c r="E473" s="14"/>
      <c r="F473" s="15"/>
      <c r="G473" s="14"/>
      <c r="H473" s="14"/>
      <c r="I473" s="14"/>
      <c r="J473" s="14"/>
      <c r="K473" s="14"/>
      <c r="L473" s="16"/>
      <c r="M473" s="16"/>
      <c r="N473" s="17"/>
      <c r="O473" s="16"/>
      <c r="P473" s="14"/>
      <c r="Q473" s="15"/>
      <c r="R473" s="14"/>
      <c r="S473" s="18"/>
      <c r="T473" s="15"/>
      <c r="U473" s="14"/>
      <c r="V473" s="18"/>
      <c r="W473" s="14"/>
    </row>
    <row r="474" customFormat="false" ht="15" hidden="false" customHeight="false" outlineLevel="0" collapsed="false">
      <c r="A474" s="14"/>
      <c r="B474" s="14"/>
      <c r="C474" s="14"/>
      <c r="D474" s="14"/>
      <c r="E474" s="14"/>
      <c r="F474" s="15"/>
      <c r="G474" s="14"/>
      <c r="H474" s="14"/>
      <c r="I474" s="14"/>
      <c r="J474" s="14"/>
      <c r="K474" s="14"/>
      <c r="L474" s="16"/>
      <c r="M474" s="16"/>
      <c r="N474" s="17"/>
      <c r="O474" s="16"/>
      <c r="P474" s="14"/>
      <c r="Q474" s="15"/>
      <c r="R474" s="14"/>
      <c r="S474" s="18"/>
      <c r="T474" s="15"/>
      <c r="U474" s="14"/>
      <c r="V474" s="18"/>
      <c r="W474" s="14"/>
    </row>
    <row r="475" customFormat="false" ht="15" hidden="false" customHeight="false" outlineLevel="0" collapsed="false">
      <c r="A475" s="14"/>
      <c r="B475" s="14"/>
      <c r="C475" s="14"/>
      <c r="D475" s="14"/>
      <c r="E475" s="14"/>
      <c r="F475" s="15"/>
      <c r="G475" s="14"/>
      <c r="H475" s="14"/>
      <c r="I475" s="14"/>
      <c r="J475" s="14"/>
      <c r="K475" s="14"/>
      <c r="L475" s="16"/>
      <c r="M475" s="16"/>
      <c r="N475" s="17"/>
      <c r="O475" s="16"/>
      <c r="P475" s="14"/>
      <c r="Q475" s="15"/>
      <c r="R475" s="14"/>
      <c r="S475" s="18"/>
      <c r="T475" s="15"/>
      <c r="U475" s="14"/>
      <c r="V475" s="18"/>
      <c r="W475" s="14"/>
    </row>
    <row r="476" customFormat="false" ht="15" hidden="false" customHeight="false" outlineLevel="0" collapsed="false">
      <c r="A476" s="14"/>
      <c r="B476" s="14"/>
      <c r="C476" s="14"/>
      <c r="D476" s="14"/>
      <c r="E476" s="14"/>
      <c r="F476" s="15"/>
      <c r="G476" s="14"/>
      <c r="H476" s="14"/>
      <c r="I476" s="14"/>
      <c r="J476" s="14"/>
      <c r="K476" s="14"/>
      <c r="L476" s="16"/>
      <c r="M476" s="16"/>
      <c r="N476" s="17"/>
      <c r="O476" s="16"/>
      <c r="P476" s="14"/>
      <c r="Q476" s="15"/>
      <c r="R476" s="14"/>
      <c r="S476" s="18"/>
      <c r="T476" s="15"/>
      <c r="U476" s="14"/>
      <c r="V476" s="18"/>
      <c r="W476" s="14"/>
    </row>
    <row r="477" customFormat="false" ht="15" hidden="false" customHeight="false" outlineLevel="0" collapsed="false">
      <c r="A477" s="14"/>
      <c r="B477" s="14"/>
      <c r="C477" s="14"/>
      <c r="D477" s="14"/>
      <c r="E477" s="14"/>
      <c r="F477" s="15"/>
      <c r="G477" s="14"/>
      <c r="H477" s="14"/>
      <c r="I477" s="14"/>
      <c r="J477" s="14"/>
      <c r="K477" s="14"/>
      <c r="L477" s="16"/>
      <c r="M477" s="16"/>
      <c r="N477" s="17"/>
      <c r="O477" s="16"/>
      <c r="P477" s="14"/>
      <c r="Q477" s="15"/>
      <c r="R477" s="14"/>
      <c r="S477" s="18"/>
      <c r="T477" s="15"/>
      <c r="U477" s="14"/>
      <c r="V477" s="18"/>
      <c r="W477" s="14"/>
    </row>
    <row r="478" customFormat="false" ht="15" hidden="false" customHeight="false" outlineLevel="0" collapsed="false">
      <c r="A478" s="14"/>
      <c r="B478" s="14"/>
      <c r="C478" s="14"/>
      <c r="D478" s="14"/>
      <c r="E478" s="14"/>
      <c r="F478" s="15"/>
      <c r="G478" s="14"/>
      <c r="H478" s="14"/>
      <c r="I478" s="14"/>
      <c r="J478" s="14"/>
      <c r="K478" s="14"/>
      <c r="L478" s="16"/>
      <c r="M478" s="16"/>
      <c r="N478" s="17"/>
      <c r="O478" s="16"/>
      <c r="P478" s="14"/>
      <c r="Q478" s="15"/>
      <c r="R478" s="14"/>
      <c r="S478" s="18"/>
      <c r="T478" s="15"/>
      <c r="U478" s="14"/>
      <c r="V478" s="18"/>
      <c r="W478" s="14"/>
    </row>
    <row r="479" customFormat="false" ht="15" hidden="false" customHeight="false" outlineLevel="0" collapsed="false">
      <c r="A479" s="14"/>
      <c r="B479" s="14"/>
      <c r="C479" s="14"/>
      <c r="D479" s="14"/>
      <c r="E479" s="14"/>
      <c r="F479" s="15"/>
      <c r="G479" s="14"/>
      <c r="H479" s="14"/>
      <c r="I479" s="14"/>
      <c r="J479" s="14"/>
      <c r="K479" s="14"/>
      <c r="L479" s="16"/>
      <c r="M479" s="16"/>
      <c r="N479" s="17"/>
      <c r="O479" s="16"/>
      <c r="P479" s="14"/>
      <c r="Q479" s="15"/>
      <c r="R479" s="14"/>
      <c r="S479" s="18"/>
      <c r="T479" s="15"/>
      <c r="U479" s="14"/>
      <c r="V479" s="18"/>
      <c r="W479" s="14"/>
    </row>
    <row r="480" customFormat="false" ht="15" hidden="false" customHeight="false" outlineLevel="0" collapsed="false">
      <c r="A480" s="14"/>
      <c r="B480" s="14"/>
      <c r="C480" s="14"/>
      <c r="D480" s="14"/>
      <c r="E480" s="14"/>
      <c r="F480" s="15"/>
      <c r="G480" s="14"/>
      <c r="H480" s="14"/>
      <c r="I480" s="14"/>
      <c r="J480" s="14"/>
      <c r="K480" s="14"/>
      <c r="L480" s="16"/>
      <c r="M480" s="16"/>
      <c r="N480" s="17"/>
      <c r="O480" s="16"/>
      <c r="P480" s="14"/>
      <c r="Q480" s="15"/>
      <c r="R480" s="14"/>
      <c r="S480" s="18"/>
      <c r="T480" s="15"/>
      <c r="U480" s="14"/>
      <c r="V480" s="18"/>
      <c r="W480" s="14"/>
    </row>
    <row r="481" customFormat="false" ht="15" hidden="false" customHeight="false" outlineLevel="0" collapsed="false">
      <c r="A481" s="14"/>
      <c r="B481" s="14"/>
      <c r="C481" s="14"/>
      <c r="D481" s="14"/>
      <c r="E481" s="14"/>
      <c r="F481" s="15"/>
      <c r="G481" s="14"/>
      <c r="H481" s="14"/>
      <c r="I481" s="14"/>
      <c r="J481" s="14"/>
      <c r="K481" s="14"/>
      <c r="L481" s="16"/>
      <c r="M481" s="16"/>
      <c r="N481" s="17"/>
      <c r="O481" s="16"/>
      <c r="P481" s="14"/>
      <c r="Q481" s="15"/>
      <c r="R481" s="14"/>
      <c r="S481" s="18"/>
      <c r="T481" s="15"/>
      <c r="U481" s="14"/>
      <c r="V481" s="18"/>
      <c r="W481" s="14"/>
    </row>
    <row r="482" customFormat="false" ht="15" hidden="false" customHeight="false" outlineLevel="0" collapsed="false">
      <c r="A482" s="14"/>
      <c r="B482" s="14"/>
      <c r="C482" s="14"/>
      <c r="D482" s="14"/>
      <c r="E482" s="14"/>
      <c r="F482" s="15"/>
      <c r="G482" s="14"/>
      <c r="H482" s="14"/>
      <c r="I482" s="14"/>
      <c r="J482" s="14"/>
      <c r="K482" s="14"/>
      <c r="L482" s="16"/>
      <c r="M482" s="16"/>
      <c r="N482" s="17"/>
      <c r="O482" s="16"/>
      <c r="P482" s="14"/>
      <c r="Q482" s="15"/>
      <c r="R482" s="14"/>
      <c r="S482" s="18"/>
      <c r="T482" s="15"/>
      <c r="U482" s="14"/>
      <c r="V482" s="18"/>
      <c r="W482" s="14"/>
    </row>
    <row r="483" customFormat="false" ht="15" hidden="false" customHeight="false" outlineLevel="0" collapsed="false">
      <c r="A483" s="14"/>
      <c r="B483" s="14"/>
      <c r="C483" s="14"/>
      <c r="D483" s="14"/>
      <c r="E483" s="14"/>
      <c r="F483" s="15"/>
      <c r="G483" s="14"/>
      <c r="H483" s="14"/>
      <c r="I483" s="14"/>
      <c r="J483" s="14"/>
      <c r="K483" s="14"/>
      <c r="L483" s="16"/>
      <c r="M483" s="16"/>
      <c r="N483" s="17"/>
      <c r="O483" s="16"/>
      <c r="P483" s="14"/>
      <c r="Q483" s="15"/>
      <c r="R483" s="14"/>
      <c r="S483" s="18"/>
      <c r="T483" s="15"/>
      <c r="U483" s="14"/>
      <c r="V483" s="18"/>
      <c r="W483" s="14"/>
    </row>
    <row r="484" customFormat="false" ht="15" hidden="false" customHeight="false" outlineLevel="0" collapsed="false">
      <c r="A484" s="14"/>
      <c r="B484" s="14"/>
      <c r="C484" s="14"/>
      <c r="D484" s="14"/>
      <c r="E484" s="14"/>
      <c r="F484" s="15"/>
      <c r="G484" s="14"/>
      <c r="H484" s="14"/>
      <c r="I484" s="14"/>
      <c r="J484" s="14"/>
      <c r="K484" s="14"/>
      <c r="L484" s="16"/>
      <c r="M484" s="16"/>
      <c r="N484" s="17"/>
      <c r="O484" s="16"/>
      <c r="P484" s="14"/>
      <c r="Q484" s="15"/>
      <c r="R484" s="14"/>
      <c r="S484" s="18"/>
      <c r="T484" s="15"/>
      <c r="U484" s="14"/>
      <c r="V484" s="18"/>
      <c r="W484" s="14"/>
    </row>
    <row r="485" customFormat="false" ht="15" hidden="false" customHeight="false" outlineLevel="0" collapsed="false">
      <c r="A485" s="14"/>
      <c r="B485" s="14"/>
      <c r="C485" s="14"/>
      <c r="D485" s="14"/>
      <c r="E485" s="14"/>
      <c r="F485" s="15"/>
      <c r="G485" s="14"/>
      <c r="H485" s="14"/>
      <c r="I485" s="14"/>
      <c r="J485" s="14"/>
      <c r="K485" s="14"/>
      <c r="L485" s="16"/>
      <c r="M485" s="16"/>
      <c r="N485" s="17"/>
      <c r="O485" s="16"/>
      <c r="P485" s="14"/>
      <c r="Q485" s="15"/>
      <c r="R485" s="14"/>
      <c r="S485" s="18"/>
      <c r="T485" s="15"/>
      <c r="U485" s="14"/>
      <c r="V485" s="18"/>
      <c r="W485" s="14"/>
    </row>
    <row r="486" customFormat="false" ht="15" hidden="false" customHeight="false" outlineLevel="0" collapsed="false">
      <c r="A486" s="14"/>
      <c r="B486" s="14"/>
      <c r="C486" s="14"/>
      <c r="D486" s="14"/>
      <c r="E486" s="14"/>
      <c r="F486" s="15"/>
      <c r="G486" s="14"/>
      <c r="H486" s="14"/>
      <c r="I486" s="14"/>
      <c r="J486" s="14"/>
      <c r="K486" s="14"/>
      <c r="L486" s="16"/>
      <c r="M486" s="16"/>
      <c r="N486" s="17"/>
      <c r="O486" s="16"/>
      <c r="P486" s="14"/>
      <c r="Q486" s="15"/>
      <c r="R486" s="14"/>
      <c r="S486" s="18"/>
      <c r="T486" s="15"/>
      <c r="U486" s="14"/>
      <c r="V486" s="18"/>
      <c r="W486" s="14"/>
    </row>
    <row r="487" customFormat="false" ht="15" hidden="false" customHeight="false" outlineLevel="0" collapsed="false">
      <c r="A487" s="14"/>
      <c r="B487" s="14"/>
      <c r="C487" s="14"/>
      <c r="D487" s="14"/>
      <c r="E487" s="14"/>
      <c r="F487" s="15"/>
      <c r="G487" s="14"/>
      <c r="H487" s="14"/>
      <c r="I487" s="14"/>
      <c r="J487" s="14"/>
      <c r="K487" s="14"/>
      <c r="L487" s="16"/>
      <c r="M487" s="16"/>
      <c r="N487" s="17"/>
      <c r="O487" s="16"/>
      <c r="P487" s="14"/>
      <c r="Q487" s="15"/>
      <c r="R487" s="14"/>
      <c r="S487" s="18"/>
      <c r="T487" s="15"/>
      <c r="U487" s="14"/>
      <c r="V487" s="18"/>
      <c r="W487" s="14"/>
    </row>
    <row r="488" customFormat="false" ht="15" hidden="false" customHeight="false" outlineLevel="0" collapsed="false">
      <c r="A488" s="14"/>
      <c r="B488" s="14"/>
      <c r="C488" s="14"/>
      <c r="D488" s="14"/>
      <c r="E488" s="14"/>
      <c r="F488" s="15"/>
      <c r="G488" s="14"/>
      <c r="H488" s="14"/>
      <c r="I488" s="14"/>
      <c r="J488" s="14"/>
      <c r="K488" s="14"/>
      <c r="L488" s="16"/>
      <c r="M488" s="16"/>
      <c r="N488" s="17"/>
      <c r="O488" s="16"/>
      <c r="P488" s="14"/>
      <c r="Q488" s="15"/>
      <c r="R488" s="14"/>
      <c r="S488" s="18"/>
      <c r="T488" s="15"/>
      <c r="U488" s="14"/>
      <c r="V488" s="18"/>
      <c r="W488" s="14"/>
    </row>
    <row r="489" customFormat="false" ht="15" hidden="false" customHeight="false" outlineLevel="0" collapsed="false">
      <c r="A489" s="14"/>
      <c r="B489" s="14"/>
      <c r="C489" s="14"/>
      <c r="D489" s="14"/>
      <c r="E489" s="14"/>
      <c r="F489" s="15"/>
      <c r="G489" s="14"/>
      <c r="H489" s="14"/>
      <c r="I489" s="14"/>
      <c r="J489" s="14"/>
      <c r="K489" s="14"/>
      <c r="L489" s="16"/>
      <c r="M489" s="16"/>
      <c r="N489" s="17"/>
      <c r="O489" s="16"/>
      <c r="P489" s="14"/>
      <c r="Q489" s="15"/>
      <c r="R489" s="14"/>
      <c r="S489" s="18"/>
      <c r="T489" s="15"/>
      <c r="U489" s="14"/>
      <c r="V489" s="18"/>
      <c r="W489" s="14"/>
    </row>
    <row r="490" customFormat="false" ht="15" hidden="false" customHeight="false" outlineLevel="0" collapsed="false">
      <c r="A490" s="14"/>
      <c r="B490" s="14"/>
      <c r="C490" s="14"/>
      <c r="D490" s="14"/>
      <c r="E490" s="14"/>
      <c r="F490" s="15"/>
      <c r="G490" s="14"/>
      <c r="H490" s="14"/>
      <c r="I490" s="14"/>
      <c r="J490" s="14"/>
      <c r="K490" s="14"/>
      <c r="L490" s="16"/>
      <c r="M490" s="16"/>
      <c r="N490" s="17"/>
      <c r="O490" s="16"/>
      <c r="P490" s="14"/>
      <c r="Q490" s="15"/>
      <c r="R490" s="14"/>
      <c r="S490" s="18"/>
      <c r="T490" s="15"/>
      <c r="U490" s="14"/>
      <c r="V490" s="18"/>
      <c r="W490" s="14"/>
    </row>
    <row r="491" customFormat="false" ht="15" hidden="false" customHeight="false" outlineLevel="0" collapsed="false">
      <c r="A491" s="14"/>
      <c r="B491" s="14"/>
      <c r="C491" s="14"/>
      <c r="D491" s="14"/>
      <c r="E491" s="14"/>
      <c r="F491" s="15"/>
      <c r="G491" s="14"/>
      <c r="H491" s="14"/>
      <c r="I491" s="14"/>
      <c r="J491" s="14"/>
      <c r="K491" s="14"/>
      <c r="L491" s="16"/>
      <c r="M491" s="16"/>
      <c r="N491" s="17"/>
      <c r="O491" s="16"/>
      <c r="P491" s="14"/>
      <c r="Q491" s="15"/>
      <c r="R491" s="14"/>
      <c r="S491" s="18"/>
      <c r="T491" s="15"/>
      <c r="U491" s="14"/>
      <c r="V491" s="18"/>
      <c r="W491" s="14"/>
    </row>
    <row r="492" customFormat="false" ht="15" hidden="false" customHeight="false" outlineLevel="0" collapsed="false">
      <c r="A492" s="14"/>
      <c r="B492" s="14"/>
      <c r="C492" s="14"/>
      <c r="D492" s="14"/>
      <c r="E492" s="14"/>
      <c r="F492" s="15"/>
      <c r="G492" s="14"/>
      <c r="H492" s="14"/>
      <c r="I492" s="14"/>
      <c r="J492" s="14"/>
      <c r="K492" s="14"/>
      <c r="L492" s="16"/>
      <c r="M492" s="16"/>
      <c r="N492" s="17"/>
      <c r="O492" s="16"/>
      <c r="P492" s="14"/>
      <c r="Q492" s="15"/>
      <c r="R492" s="14"/>
      <c r="S492" s="18"/>
      <c r="T492" s="15"/>
      <c r="U492" s="14"/>
      <c r="V492" s="18"/>
      <c r="W492" s="14"/>
    </row>
    <row r="493" customFormat="false" ht="15" hidden="false" customHeight="false" outlineLevel="0" collapsed="false">
      <c r="A493" s="14"/>
      <c r="B493" s="14"/>
      <c r="C493" s="14"/>
      <c r="D493" s="14"/>
      <c r="E493" s="14"/>
      <c r="F493" s="15"/>
      <c r="G493" s="14"/>
      <c r="H493" s="14"/>
      <c r="I493" s="14"/>
      <c r="J493" s="14"/>
      <c r="K493" s="14"/>
      <c r="L493" s="16"/>
      <c r="M493" s="16"/>
      <c r="N493" s="17"/>
      <c r="O493" s="16"/>
      <c r="P493" s="14"/>
      <c r="Q493" s="15"/>
      <c r="R493" s="14"/>
      <c r="S493" s="18"/>
      <c r="T493" s="15"/>
      <c r="U493" s="14"/>
      <c r="V493" s="18"/>
      <c r="W493" s="14"/>
    </row>
    <row r="494" customFormat="false" ht="15" hidden="false" customHeight="false" outlineLevel="0" collapsed="false">
      <c r="A494" s="14"/>
      <c r="B494" s="14"/>
      <c r="C494" s="14"/>
      <c r="D494" s="14"/>
      <c r="E494" s="14"/>
      <c r="F494" s="15"/>
      <c r="G494" s="14"/>
      <c r="H494" s="14"/>
      <c r="I494" s="14"/>
      <c r="J494" s="14"/>
      <c r="K494" s="14"/>
      <c r="L494" s="16"/>
      <c r="M494" s="16"/>
      <c r="N494" s="17"/>
      <c r="O494" s="16"/>
      <c r="P494" s="14"/>
      <c r="Q494" s="15"/>
      <c r="R494" s="14"/>
      <c r="S494" s="18"/>
      <c r="T494" s="15"/>
      <c r="U494" s="14"/>
      <c r="V494" s="18"/>
      <c r="W494" s="14"/>
    </row>
    <row r="495" customFormat="false" ht="15" hidden="false" customHeight="false" outlineLevel="0" collapsed="false">
      <c r="A495" s="14"/>
      <c r="B495" s="14"/>
      <c r="C495" s="14"/>
      <c r="D495" s="14"/>
      <c r="E495" s="14"/>
      <c r="F495" s="15"/>
      <c r="G495" s="14"/>
      <c r="H495" s="14"/>
      <c r="I495" s="14"/>
      <c r="J495" s="14"/>
      <c r="K495" s="14"/>
      <c r="L495" s="16"/>
      <c r="M495" s="16"/>
      <c r="N495" s="17"/>
      <c r="O495" s="16"/>
      <c r="P495" s="14"/>
      <c r="Q495" s="15"/>
      <c r="R495" s="14"/>
      <c r="S495" s="18"/>
      <c r="T495" s="15"/>
      <c r="U495" s="14"/>
      <c r="V495" s="18"/>
      <c r="W495" s="14"/>
    </row>
    <row r="496" customFormat="false" ht="15" hidden="false" customHeight="false" outlineLevel="0" collapsed="false">
      <c r="A496" s="14"/>
      <c r="B496" s="14"/>
      <c r="C496" s="14"/>
      <c r="D496" s="14"/>
      <c r="E496" s="14"/>
      <c r="F496" s="15"/>
      <c r="G496" s="14"/>
      <c r="H496" s="14"/>
      <c r="I496" s="14"/>
      <c r="J496" s="14"/>
      <c r="K496" s="14"/>
      <c r="L496" s="16"/>
      <c r="M496" s="16"/>
      <c r="N496" s="17"/>
      <c r="O496" s="16"/>
      <c r="P496" s="14"/>
      <c r="Q496" s="15"/>
      <c r="R496" s="14"/>
      <c r="S496" s="18"/>
      <c r="T496" s="15"/>
      <c r="U496" s="14"/>
      <c r="V496" s="18"/>
      <c r="W496" s="14"/>
    </row>
    <row r="497" customFormat="false" ht="15" hidden="false" customHeight="false" outlineLevel="0" collapsed="false">
      <c r="A497" s="14"/>
      <c r="B497" s="14"/>
      <c r="C497" s="14"/>
      <c r="D497" s="14"/>
      <c r="E497" s="14"/>
      <c r="F497" s="15"/>
      <c r="G497" s="14"/>
      <c r="H497" s="14"/>
      <c r="I497" s="14"/>
      <c r="J497" s="14"/>
      <c r="K497" s="14"/>
      <c r="L497" s="16"/>
      <c r="M497" s="16"/>
      <c r="N497" s="17"/>
      <c r="O497" s="16"/>
      <c r="P497" s="14"/>
      <c r="Q497" s="15"/>
      <c r="R497" s="14"/>
      <c r="S497" s="18"/>
      <c r="T497" s="15"/>
      <c r="U497" s="14"/>
      <c r="V497" s="18"/>
      <c r="W497" s="14"/>
    </row>
    <row r="498" customFormat="false" ht="15" hidden="false" customHeight="false" outlineLevel="0" collapsed="false">
      <c r="A498" s="14"/>
      <c r="B498" s="14"/>
      <c r="C498" s="14"/>
      <c r="D498" s="14"/>
      <c r="E498" s="14"/>
      <c r="F498" s="15"/>
      <c r="G498" s="14"/>
      <c r="H498" s="14"/>
      <c r="I498" s="14"/>
      <c r="J498" s="14"/>
      <c r="K498" s="14"/>
      <c r="L498" s="16"/>
      <c r="M498" s="16"/>
      <c r="N498" s="17"/>
      <c r="O498" s="16"/>
      <c r="P498" s="14"/>
      <c r="Q498" s="15"/>
      <c r="R498" s="14"/>
      <c r="S498" s="18"/>
      <c r="T498" s="15"/>
      <c r="U498" s="14"/>
      <c r="V498" s="18"/>
      <c r="W498" s="14"/>
    </row>
    <row r="499" customFormat="false" ht="15" hidden="false" customHeight="false" outlineLevel="0" collapsed="false">
      <c r="A499" s="14"/>
      <c r="B499" s="14"/>
      <c r="C499" s="14"/>
      <c r="D499" s="14"/>
      <c r="E499" s="14"/>
      <c r="F499" s="15"/>
      <c r="G499" s="14"/>
      <c r="H499" s="14"/>
      <c r="I499" s="14"/>
      <c r="J499" s="14"/>
      <c r="K499" s="14"/>
      <c r="L499" s="16"/>
      <c r="M499" s="16"/>
      <c r="N499" s="17"/>
      <c r="O499" s="16"/>
      <c r="P499" s="14"/>
      <c r="Q499" s="15"/>
      <c r="R499" s="14"/>
      <c r="S499" s="18"/>
      <c r="T499" s="15"/>
      <c r="U499" s="14"/>
      <c r="V499" s="18"/>
      <c r="W499" s="14"/>
    </row>
    <row r="500" customFormat="false" ht="15" hidden="false" customHeight="false" outlineLevel="0" collapsed="false">
      <c r="A500" s="14"/>
      <c r="B500" s="14"/>
      <c r="C500" s="14"/>
      <c r="D500" s="14"/>
      <c r="E500" s="14"/>
      <c r="F500" s="15"/>
      <c r="G500" s="14"/>
      <c r="H500" s="14"/>
      <c r="I500" s="14"/>
      <c r="J500" s="14"/>
      <c r="K500" s="14"/>
      <c r="L500" s="16"/>
      <c r="M500" s="16"/>
      <c r="N500" s="17"/>
      <c r="O500" s="16"/>
      <c r="P500" s="14"/>
      <c r="Q500" s="15"/>
      <c r="R500" s="14"/>
      <c r="S500" s="18"/>
      <c r="T500" s="15"/>
      <c r="U500" s="14"/>
      <c r="V500" s="18"/>
      <c r="W500" s="14"/>
    </row>
    <row r="501" customFormat="false" ht="15" hidden="false" customHeight="false" outlineLevel="0" collapsed="false">
      <c r="A501" s="14"/>
      <c r="B501" s="14"/>
      <c r="C501" s="14"/>
      <c r="D501" s="14"/>
      <c r="E501" s="14"/>
      <c r="F501" s="15"/>
      <c r="G501" s="14"/>
      <c r="H501" s="14"/>
      <c r="I501" s="14"/>
      <c r="J501" s="14"/>
      <c r="K501" s="14"/>
      <c r="L501" s="16"/>
      <c r="M501" s="16"/>
      <c r="N501" s="17"/>
      <c r="O501" s="16"/>
      <c r="P501" s="14"/>
      <c r="Q501" s="15"/>
      <c r="R501" s="14"/>
      <c r="S501" s="18"/>
      <c r="T501" s="15"/>
      <c r="U501" s="14"/>
      <c r="V501" s="18"/>
      <c r="W501" s="14"/>
    </row>
    <row r="502" customFormat="false" ht="15" hidden="false" customHeight="false" outlineLevel="0" collapsed="false">
      <c r="A502" s="14"/>
      <c r="B502" s="14"/>
      <c r="C502" s="14"/>
      <c r="D502" s="14"/>
      <c r="E502" s="14"/>
      <c r="F502" s="15"/>
      <c r="G502" s="14"/>
      <c r="H502" s="14"/>
      <c r="I502" s="14"/>
      <c r="J502" s="14"/>
      <c r="K502" s="14"/>
      <c r="L502" s="16"/>
      <c r="M502" s="16"/>
      <c r="N502" s="17"/>
      <c r="O502" s="16"/>
      <c r="P502" s="14"/>
      <c r="Q502" s="15"/>
      <c r="R502" s="14"/>
      <c r="S502" s="18"/>
      <c r="T502" s="15"/>
      <c r="U502" s="14"/>
      <c r="V502" s="18"/>
      <c r="W502" s="14"/>
    </row>
    <row r="503" customFormat="false" ht="15" hidden="false" customHeight="false" outlineLevel="0" collapsed="false">
      <c r="A503" s="14"/>
      <c r="B503" s="14"/>
      <c r="C503" s="14"/>
      <c r="D503" s="14"/>
      <c r="E503" s="14"/>
      <c r="F503" s="15"/>
      <c r="G503" s="14"/>
      <c r="H503" s="14"/>
      <c r="I503" s="14"/>
      <c r="J503" s="14"/>
      <c r="K503" s="14"/>
      <c r="L503" s="16"/>
      <c r="M503" s="16"/>
      <c r="N503" s="17"/>
      <c r="O503" s="16"/>
      <c r="P503" s="14"/>
      <c r="Q503" s="15"/>
      <c r="R503" s="14"/>
      <c r="S503" s="18"/>
      <c r="T503" s="15"/>
      <c r="U503" s="14"/>
      <c r="V503" s="18"/>
      <c r="W503" s="14"/>
    </row>
  </sheetData>
  <conditionalFormatting sqref="A4:W503">
    <cfRule type="expression" priority="2" aboveAverage="0" equalAverage="0" bottom="0" percent="0" rank="0" text="" dxfId="0">
      <formula>AND(COUNTA($A4:$W4)&gt;0,(COUNTBLANK($A4)+COUNTBLANK($B4)+COUNTBLANK($C4)+COUNTBLANK($D4)+COUNTBLANK($E4)+COUNTBLANK($F4)+COUNTBLANK($L4)+COUNTBLANK($M4)+COUNTBLANK($P4)+COUNTBLANK($U4)+COUNTBLANK($V4))&gt;0)</formula>
    </cfRule>
  </conditionalFormatting>
  <dataValidations count="9">
    <dataValidation allowBlank="true" error="Escolha um valor da lista." errorStyle="stop" errorTitle="Valor inválido" operator="between" prompt="Escolha da lista." promptTitle="Lista de valores" showDropDown="false" showErrorMessage="false" showInputMessage="false" sqref="D4:D503" type="list">
      <formula1>"Comprimido,Cápsula,Xarope,Injectável,Pomada,Creme,Gotas,Supositório,Pó,Solução,Outro"</formula1>
      <formula2>0</formula2>
    </dataValidation>
    <dataValidation allowBlank="true" error="Introduza um número válido dentro do intervalo permitido." errorStyle="stop" errorTitle="Número inválido" operator="between" showDropDown="false" showErrorMessage="false" showInputMessage="false" sqref="F4:F503 Q4:Q503 T4:T503" type="whole">
      <formula1>0</formula1>
      <formula2>1000000</formula2>
    </dataValidation>
    <dataValidation allowBlank="true" error="Escolha um valor da lista." errorStyle="stop" errorTitle="Valor inválido" operator="between" prompt="Escolha da lista." promptTitle="Lista de valores" showDropDown="false" showErrorMessage="false" showInputMessage="false" sqref="G4:G503" type="list">
      <formula1>"comprimidos,cápsulas,ml,g,ampolas,frascos,unidades"</formula1>
      <formula2>0</formula2>
    </dataValidation>
    <dataValidation allowBlank="true" error="Introduza um número válido dentro do intervalo permitido." errorStyle="stop" errorTitle="Número inválido" operator="between" showDropDown="false" showErrorMessage="false" showInputMessage="false" sqref="L4:M503 O4:O503" type="decimal">
      <formula1>0</formula1>
      <formula2>100000000</formula2>
    </dataValidation>
    <dataValidation allowBlank="true" error="Introduza um número válido dentro do intervalo permitido." errorStyle="stop" errorTitle="Número inválido" operator="between" showDropDown="false" showErrorMessage="false" showInputMessage="false" sqref="N4:N503" type="decimal">
      <formula1>0</formula1>
      <formula2>0.5</formula2>
    </dataValidation>
    <dataValidation allowBlank="true" error="Escolha um valor da lista." errorStyle="stop" errorTitle="Valor inválido" operator="between" prompt="Escolha da lista." promptTitle="Lista de valores" showDropDown="false" showErrorMessage="false" showInputMessage="false" sqref="P4:P503" type="list">
      <formula1>"Em stock,Sem stock,Sob encomenda"</formula1>
      <formula2>0</formula2>
    </dataValidation>
    <dataValidation allowBlank="true" error="Introduza uma data válida." errorStyle="stop" errorTitle="Data inválida" operator="greaterThan" showDropDown="false" showErrorMessage="false" showInputMessage="false" sqref="S4:S503" type="date">
      <formula1>DATE(2000,1,1)</formula1>
      <formula2>0</formula2>
    </dataValidation>
    <dataValidation allowBlank="true" error="Escolha um valor da lista." errorStyle="stop" errorTitle="Valor inválido" operator="between" prompt="Escolha da lista." promptTitle="Lista de valores" showDropDown="false" showErrorMessage="false" showInputMessage="false" sqref="U4:U503" type="list">
      <formula1>"MZN,USD"</formula1>
      <formula2>0</formula2>
    </dataValidation>
    <dataValidation allowBlank="true" error="Introduza uma data válida." errorStyle="stop" errorTitle="Data inválida" operator="greaterThan" showDropDown="false" showErrorMessage="false" showInputMessage="false" sqref="V4:V503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I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23" min="3" style="1" width="16"/>
  </cols>
  <sheetData>
    <row r="1" customFormat="false" ht="25.5" hidden="false" customHeight="true" outlineLevel="0" collapsed="false">
      <c r="A1" s="21" t="s">
        <v>99</v>
      </c>
      <c r="B1" s="21"/>
      <c r="C1" s="21"/>
    </row>
    <row r="3" customFormat="false" ht="15" hidden="false" customHeight="false" outlineLevel="0" collapsed="false">
      <c r="A3" s="22" t="s">
        <v>100</v>
      </c>
      <c r="B3" s="22" t="s">
        <v>101</v>
      </c>
      <c r="C3" s="22" t="s">
        <v>102</v>
      </c>
    </row>
    <row r="4" customFormat="false" ht="15" hidden="false" customHeight="false" outlineLevel="0" collapsed="false">
      <c r="A4" s="1" t="s">
        <v>103</v>
      </c>
      <c r="B4" s="1" t="n">
        <f aca="false">SUMPRODUCT(--((('Lista de Preços'!$A$4:$A$503&lt;&gt;"")+('Lista de Preços'!$B$4:$B$503&lt;&gt;"")+('Lista de Preços'!$C$4:$C$503&lt;&gt;"")+('Lista de Preços'!$D$4:$D$503&lt;&gt;"")+('Lista de Preços'!$E$4:$E$503&lt;&gt;"")+('Lista de Preços'!$F$4:$F$503&lt;&gt;"")+('Lista de Preços'!$G$4:$G$503&lt;&gt;"")+('Lista de Preços'!$H$4:$H$503&lt;&gt;"")+('Lista de Preços'!$I$4:$I$503&lt;&gt;"")+('Lista de Preços'!$J$4:$J$503&lt;&gt;"")+('Lista de Preços'!$K$4:$K$503&lt;&gt;"")+('Lista de Preços'!$L$4:$L$503&lt;&gt;"")+('Lista de Preços'!$M$4:$M$503&lt;&gt;"")+('Lista de Preços'!$N$4:$N$503&lt;&gt;"")+('Lista de Preços'!$O$4:$O$503&lt;&gt;"")+('Lista de Preços'!$P$4:$P$503&lt;&gt;"")+('Lista de Preços'!$Q$4:$Q$503&lt;&gt;"")+('Lista de Preços'!$R$4:$R$503&lt;&gt;"")+('Lista de Preços'!$S$4:$S$503&lt;&gt;"")+('Lista de Preços'!$T$4:$T$503&lt;&gt;"")+('Lista de Preços'!$U$4:$U$503&lt;&gt;"")+('Lista de Preços'!$V$4:$V$503&lt;&gt;"")+('Lista de Preços'!$W$4:$W$503&lt;&gt;""))&gt;0))</f>
        <v>0</v>
      </c>
      <c r="C4" s="1" t="s">
        <v>104</v>
      </c>
    </row>
    <row r="5" customFormat="false" ht="15" hidden="false" customHeight="false" outlineLevel="0" collapsed="false">
      <c r="A5" s="1" t="s">
        <v>105</v>
      </c>
      <c r="B5" s="23" t="n">
        <f aca="false">COUNTIF($C$15:$C$514,"ERRO")</f>
        <v>0</v>
      </c>
      <c r="C5" s="24" t="s">
        <v>106</v>
      </c>
    </row>
    <row r="6" customFormat="false" ht="15" hidden="false" customHeight="false" outlineLevel="0" collapsed="false">
      <c r="A6" s="1" t="s">
        <v>107</v>
      </c>
      <c r="B6" s="23" t="n">
        <f aca="false">COUNTIF($D$15:$D$514,"ERRO")</f>
        <v>0</v>
      </c>
      <c r="C6" s="24" t="s">
        <v>108</v>
      </c>
    </row>
    <row r="7" customFormat="false" ht="15" hidden="false" customHeight="false" outlineLevel="0" collapsed="false">
      <c r="A7" s="1" t="s">
        <v>109</v>
      </c>
      <c r="B7" s="23" t="n">
        <f aca="false">COUNTIF($E$15:$E$514,"ERRO")</f>
        <v>0</v>
      </c>
      <c r="C7" s="24" t="s">
        <v>110</v>
      </c>
    </row>
    <row r="8" customFormat="false" ht="15" hidden="false" customHeight="false" outlineLevel="0" collapsed="false">
      <c r="A8" s="1" t="s">
        <v>111</v>
      </c>
      <c r="B8" s="23" t="n">
        <f aca="false">COUNTIF($F$15:$F$514,"ERRO")</f>
        <v>0</v>
      </c>
      <c r="C8" s="24" t="s">
        <v>112</v>
      </c>
    </row>
    <row r="9" customFormat="false" ht="15" hidden="false" customHeight="false" outlineLevel="0" collapsed="false">
      <c r="A9" s="1" t="s">
        <v>113</v>
      </c>
      <c r="B9" s="23" t="n">
        <f aca="false">COUNTIF($G$15:$G$514,"ERRO")</f>
        <v>0</v>
      </c>
      <c r="C9" s="24" t="s">
        <v>114</v>
      </c>
    </row>
    <row r="10" customFormat="false" ht="15" hidden="false" customHeight="false" outlineLevel="0" collapsed="false">
      <c r="A10" s="1" t="s">
        <v>115</v>
      </c>
      <c r="B10" s="23" t="n">
        <f aca="false">COUNTIF($H$15:$H$514,"ERRO")</f>
        <v>0</v>
      </c>
      <c r="C10" s="24" t="s">
        <v>116</v>
      </c>
    </row>
    <row r="11" customFormat="false" ht="15" hidden="false" customHeight="false" outlineLevel="0" collapsed="false">
      <c r="A11" s="1" t="s">
        <v>117</v>
      </c>
      <c r="B11" s="1" t="n">
        <f aca="false">COUNTIF($I$15:$I$514,"OK")</f>
        <v>0</v>
      </c>
      <c r="C11" s="1" t="s">
        <v>118</v>
      </c>
    </row>
    <row r="12" customFormat="false" ht="15" hidden="false" customHeight="false" outlineLevel="0" collapsed="false">
      <c r="A12" s="7" t="s">
        <v>119</v>
      </c>
      <c r="B12" s="25" t="n">
        <f aca="false">$B$5+$B$6+$B$7+$B$8+$B$9+$B$10</f>
        <v>0</v>
      </c>
      <c r="C12" s="24" t="s">
        <v>120</v>
      </c>
    </row>
    <row r="14" customFormat="false" ht="30" hidden="false" customHeight="true" outlineLevel="0" collapsed="false">
      <c r="A14" s="6" t="s">
        <v>121</v>
      </c>
      <c r="B14" s="6" t="s">
        <v>122</v>
      </c>
      <c r="C14" s="6" t="s">
        <v>123</v>
      </c>
      <c r="D14" s="6" t="s">
        <v>124</v>
      </c>
      <c r="E14" s="6" t="s">
        <v>125</v>
      </c>
      <c r="F14" s="6" t="s">
        <v>126</v>
      </c>
      <c r="G14" s="6" t="s">
        <v>127</v>
      </c>
      <c r="H14" s="6" t="s">
        <v>128</v>
      </c>
      <c r="I14" s="6" t="s">
        <v>129</v>
      </c>
    </row>
    <row r="15" customFormat="false" ht="15" hidden="false" customHeight="false" outlineLevel="0" collapsed="false">
      <c r="A15" s="26" t="n">
        <f aca="false">'Lista de Preços'!$A4</f>
        <v>0</v>
      </c>
      <c r="B15" s="26" t="n">
        <f aca="false">'Lista de Preços'!$B4</f>
        <v>0</v>
      </c>
      <c r="C15" s="27" t="str">
        <f aca="false">IF(COUNTA('Lista de Preços'!$A4:$W4)&gt;0,IF((COUNTBLANK('Lista de Preços'!$A4)+COUNTBLANK('Lista de Preços'!$B4)+COUNTBLANK('Lista de Preços'!$C4)+COUNTBLANK('Lista de Preços'!$D4)+COUNTBLANK('Lista de Preços'!$E4)+COUNTBLANK('Lista de Preços'!$F4)+COUNTBLANK('Lista de Preços'!$L4)+COUNTBLANK('Lista de Preços'!$M4)+COUNTBLANK('Lista de Preços'!$P4)+COUNTBLANK('Lista de Preços'!$U4)+COUNTBLANK('Lista de Preços'!$V4))&gt;0,"ERRO","OK"),"")</f>
        <v/>
      </c>
      <c r="D15" s="27" t="str">
        <f aca="false">IF(COUNTA('Lista de Preços'!$A4:$W4)&gt;0,IF(OR(AND('Lista de Preços'!$L4&lt;&gt;"",NOT(ISNUMBER('Lista de Preços'!$L4))),AND('Lista de Preços'!$M4&lt;&gt;"",NOT(ISNUMBER('Lista de Preços'!$M4)))),"ERRO","OK"),"")</f>
        <v/>
      </c>
      <c r="E15" s="27" t="str">
        <f aca="false">IF(COUNTA('Lista de Preços'!$A4:$W4)&gt;0,IF(AND(ISNUMBER('Lista de Preços'!$L4),ISNUMBER('Lista de Preços'!$M4),'Lista de Preços'!$L4&gt;'Lista de Preços'!$M4),"ERRO","OK"),"")</f>
        <v/>
      </c>
      <c r="F15" s="27" t="str">
        <f aca="true">IF(COUNTA('Lista de Preços'!$A4:$W4)&gt;0,IF(AND('Lista de Preços'!$S4&lt;&gt;"",ISNUMBER('Lista de Preços'!$S4),'Lista de Preços'!$S4&lt;TODAY()),"ERRO","OK"),"")</f>
        <v/>
      </c>
      <c r="G15" s="27" t="str">
        <f aca="false">IF(COUNTA('Lista de Preços'!$A4:$W4)&gt;0,IF(AND('Lista de Preços'!$A4&lt;&gt;"",COUNTIF('Lista de Preços'!$A$4:$A$503,'Lista de Preços'!$A4)&gt;1),"ERRO","OK"),"")</f>
        <v/>
      </c>
      <c r="H15" s="27" t="str">
        <f aca="false">IF(COUNTA('Lista de Preços'!$A4:$W4)&gt;0,IF(AND('Lista de Preços'!$N4&lt;&gt;"",ISNUMBER('Lista de Preços'!$N4),OR('Lista de Preços'!$N4&lt;0,'Lista de Preços'!$N4&gt;0.5)),"ERRO","OK"),"")</f>
        <v/>
      </c>
      <c r="I15" s="27" t="str">
        <f aca="false">IF(COUNTA('Lista de Preços'!$A4:$W4)&gt;0,IF(OR($C15="ERRO",$D15="ERRO",$E15="ERRO",$F15="ERRO",$G15="ERRO",$H15="ERRO"),"FALHA","OK"),"")</f>
        <v/>
      </c>
    </row>
    <row r="16" customFormat="false" ht="15" hidden="false" customHeight="false" outlineLevel="0" collapsed="false">
      <c r="A16" s="26" t="n">
        <f aca="false">'Lista de Preços'!$A5</f>
        <v>0</v>
      </c>
      <c r="B16" s="26" t="n">
        <f aca="false">'Lista de Preços'!$B5</f>
        <v>0</v>
      </c>
      <c r="C16" s="27" t="str">
        <f aca="false">IF(COUNTA('Lista de Preços'!$A5:$W5)&gt;0,IF((COUNTBLANK('Lista de Preços'!$A5)+COUNTBLANK('Lista de Preços'!$B5)+COUNTBLANK('Lista de Preços'!$C5)+COUNTBLANK('Lista de Preços'!$D5)+COUNTBLANK('Lista de Preços'!$E5)+COUNTBLANK('Lista de Preços'!$F5)+COUNTBLANK('Lista de Preços'!$L5)+COUNTBLANK('Lista de Preços'!$M5)+COUNTBLANK('Lista de Preços'!$P5)+COUNTBLANK('Lista de Preços'!$U5)+COUNTBLANK('Lista de Preços'!$V5))&gt;0,"ERRO","OK"),"")</f>
        <v/>
      </c>
      <c r="D16" s="27" t="str">
        <f aca="false">IF(COUNTA('Lista de Preços'!$A5:$W5)&gt;0,IF(OR(AND('Lista de Preços'!$L5&lt;&gt;"",NOT(ISNUMBER('Lista de Preços'!$L5))),AND('Lista de Preços'!$M5&lt;&gt;"",NOT(ISNUMBER('Lista de Preços'!$M5)))),"ERRO","OK"),"")</f>
        <v/>
      </c>
      <c r="E16" s="27" t="str">
        <f aca="false">IF(COUNTA('Lista de Preços'!$A5:$W5)&gt;0,IF(AND(ISNUMBER('Lista de Preços'!$L5),ISNUMBER('Lista de Preços'!$M5),'Lista de Preços'!$L5&gt;'Lista de Preços'!$M5),"ERRO","OK"),"")</f>
        <v/>
      </c>
      <c r="F16" s="27" t="str">
        <f aca="true">IF(COUNTA('Lista de Preços'!$A5:$W5)&gt;0,IF(AND('Lista de Preços'!$S5&lt;&gt;"",ISNUMBER('Lista de Preços'!$S5),'Lista de Preços'!$S5&lt;TODAY()),"ERRO","OK"),"")</f>
        <v/>
      </c>
      <c r="G16" s="27" t="str">
        <f aca="false">IF(COUNTA('Lista de Preços'!$A5:$W5)&gt;0,IF(AND('Lista de Preços'!$A5&lt;&gt;"",COUNTIF('Lista de Preços'!$A$4:$A$503,'Lista de Preços'!$A5)&gt;1),"ERRO","OK"),"")</f>
        <v/>
      </c>
      <c r="H16" s="27" t="str">
        <f aca="false">IF(COUNTA('Lista de Preços'!$A5:$W5)&gt;0,IF(AND('Lista de Preços'!$N5&lt;&gt;"",ISNUMBER('Lista de Preços'!$N5),OR('Lista de Preços'!$N5&lt;0,'Lista de Preços'!$N5&gt;0.5)),"ERRO","OK"),"")</f>
        <v/>
      </c>
      <c r="I16" s="27" t="str">
        <f aca="false">IF(COUNTA('Lista de Preços'!$A5:$W5)&gt;0,IF(OR($C16="ERRO",$D16="ERRO",$E16="ERRO",$F16="ERRO",$G16="ERRO",$H16="ERRO"),"FALHA","OK"),"")</f>
        <v/>
      </c>
    </row>
    <row r="17" customFormat="false" ht="15" hidden="false" customHeight="false" outlineLevel="0" collapsed="false">
      <c r="A17" s="26" t="n">
        <f aca="false">'Lista de Preços'!$A6</f>
        <v>0</v>
      </c>
      <c r="B17" s="26" t="n">
        <f aca="false">'Lista de Preços'!$B6</f>
        <v>0</v>
      </c>
      <c r="C17" s="27" t="str">
        <f aca="false">IF(COUNTA('Lista de Preços'!$A6:$W6)&gt;0,IF((COUNTBLANK('Lista de Preços'!$A6)+COUNTBLANK('Lista de Preços'!$B6)+COUNTBLANK('Lista de Preços'!$C6)+COUNTBLANK('Lista de Preços'!$D6)+COUNTBLANK('Lista de Preços'!$E6)+COUNTBLANK('Lista de Preços'!$F6)+COUNTBLANK('Lista de Preços'!$L6)+COUNTBLANK('Lista de Preços'!$M6)+COUNTBLANK('Lista de Preços'!$P6)+COUNTBLANK('Lista de Preços'!$U6)+COUNTBLANK('Lista de Preços'!$V6))&gt;0,"ERRO","OK"),"")</f>
        <v/>
      </c>
      <c r="D17" s="27" t="str">
        <f aca="false">IF(COUNTA('Lista de Preços'!$A6:$W6)&gt;0,IF(OR(AND('Lista de Preços'!$L6&lt;&gt;"",NOT(ISNUMBER('Lista de Preços'!$L6))),AND('Lista de Preços'!$M6&lt;&gt;"",NOT(ISNUMBER('Lista de Preços'!$M6)))),"ERRO","OK"),"")</f>
        <v/>
      </c>
      <c r="E17" s="27" t="str">
        <f aca="false">IF(COUNTA('Lista de Preços'!$A6:$W6)&gt;0,IF(AND(ISNUMBER('Lista de Preços'!$L6),ISNUMBER('Lista de Preços'!$M6),'Lista de Preços'!$L6&gt;'Lista de Preços'!$M6),"ERRO","OK"),"")</f>
        <v/>
      </c>
      <c r="F17" s="27" t="str">
        <f aca="true">IF(COUNTA('Lista de Preços'!$A6:$W6)&gt;0,IF(AND('Lista de Preços'!$S6&lt;&gt;"",ISNUMBER('Lista de Preços'!$S6),'Lista de Preços'!$S6&lt;TODAY()),"ERRO","OK"),"")</f>
        <v/>
      </c>
      <c r="G17" s="27" t="str">
        <f aca="false">IF(COUNTA('Lista de Preços'!$A6:$W6)&gt;0,IF(AND('Lista de Preços'!$A6&lt;&gt;"",COUNTIF('Lista de Preços'!$A$4:$A$503,'Lista de Preços'!$A6)&gt;1),"ERRO","OK"),"")</f>
        <v/>
      </c>
      <c r="H17" s="27" t="str">
        <f aca="false">IF(COUNTA('Lista de Preços'!$A6:$W6)&gt;0,IF(AND('Lista de Preços'!$N6&lt;&gt;"",ISNUMBER('Lista de Preços'!$N6),OR('Lista de Preços'!$N6&lt;0,'Lista de Preços'!$N6&gt;0.5)),"ERRO","OK"),"")</f>
        <v/>
      </c>
      <c r="I17" s="27" t="str">
        <f aca="false">IF(COUNTA('Lista de Preços'!$A6:$W6)&gt;0,IF(OR($C17="ERRO",$D17="ERRO",$E17="ERRO",$F17="ERRO",$G17="ERRO",$H17="ERRO"),"FALHA","OK"),"")</f>
        <v/>
      </c>
    </row>
    <row r="18" customFormat="false" ht="15" hidden="false" customHeight="false" outlineLevel="0" collapsed="false">
      <c r="A18" s="26" t="n">
        <f aca="false">'Lista de Preços'!$A7</f>
        <v>0</v>
      </c>
      <c r="B18" s="26" t="n">
        <f aca="false">'Lista de Preços'!$B7</f>
        <v>0</v>
      </c>
      <c r="C18" s="27" t="str">
        <f aca="false">IF(COUNTA('Lista de Preços'!$A7:$W7)&gt;0,IF((COUNTBLANK('Lista de Preços'!$A7)+COUNTBLANK('Lista de Preços'!$B7)+COUNTBLANK('Lista de Preços'!$C7)+COUNTBLANK('Lista de Preços'!$D7)+COUNTBLANK('Lista de Preços'!$E7)+COUNTBLANK('Lista de Preços'!$F7)+COUNTBLANK('Lista de Preços'!$L7)+COUNTBLANK('Lista de Preços'!$M7)+COUNTBLANK('Lista de Preços'!$P7)+COUNTBLANK('Lista de Preços'!$U7)+COUNTBLANK('Lista de Preços'!$V7))&gt;0,"ERRO","OK"),"")</f>
        <v/>
      </c>
      <c r="D18" s="27" t="str">
        <f aca="false">IF(COUNTA('Lista de Preços'!$A7:$W7)&gt;0,IF(OR(AND('Lista de Preços'!$L7&lt;&gt;"",NOT(ISNUMBER('Lista de Preços'!$L7))),AND('Lista de Preços'!$M7&lt;&gt;"",NOT(ISNUMBER('Lista de Preços'!$M7)))),"ERRO","OK"),"")</f>
        <v/>
      </c>
      <c r="E18" s="27" t="str">
        <f aca="false">IF(COUNTA('Lista de Preços'!$A7:$W7)&gt;0,IF(AND(ISNUMBER('Lista de Preços'!$L7),ISNUMBER('Lista de Preços'!$M7),'Lista de Preços'!$L7&gt;'Lista de Preços'!$M7),"ERRO","OK"),"")</f>
        <v/>
      </c>
      <c r="F18" s="27" t="str">
        <f aca="true">IF(COUNTA('Lista de Preços'!$A7:$W7)&gt;0,IF(AND('Lista de Preços'!$S7&lt;&gt;"",ISNUMBER('Lista de Preços'!$S7),'Lista de Preços'!$S7&lt;TODAY()),"ERRO","OK"),"")</f>
        <v/>
      </c>
      <c r="G18" s="27" t="str">
        <f aca="false">IF(COUNTA('Lista de Preços'!$A7:$W7)&gt;0,IF(AND('Lista de Preços'!$A7&lt;&gt;"",COUNTIF('Lista de Preços'!$A$4:$A$503,'Lista de Preços'!$A7)&gt;1),"ERRO","OK"),"")</f>
        <v/>
      </c>
      <c r="H18" s="27" t="str">
        <f aca="false">IF(COUNTA('Lista de Preços'!$A7:$W7)&gt;0,IF(AND('Lista de Preços'!$N7&lt;&gt;"",ISNUMBER('Lista de Preços'!$N7),OR('Lista de Preços'!$N7&lt;0,'Lista de Preços'!$N7&gt;0.5)),"ERRO","OK"),"")</f>
        <v/>
      </c>
      <c r="I18" s="27" t="str">
        <f aca="false">IF(COUNTA('Lista de Preços'!$A7:$W7)&gt;0,IF(OR($C18="ERRO",$D18="ERRO",$E18="ERRO",$F18="ERRO",$G18="ERRO",$H18="ERRO"),"FALHA","OK"),"")</f>
        <v/>
      </c>
    </row>
    <row r="19" customFormat="false" ht="15" hidden="false" customHeight="false" outlineLevel="0" collapsed="false">
      <c r="A19" s="26" t="n">
        <f aca="false">'Lista de Preços'!$A8</f>
        <v>0</v>
      </c>
      <c r="B19" s="26" t="n">
        <f aca="false">'Lista de Preços'!$B8</f>
        <v>0</v>
      </c>
      <c r="C19" s="27" t="str">
        <f aca="false">IF(COUNTA('Lista de Preços'!$A8:$W8)&gt;0,IF((COUNTBLANK('Lista de Preços'!$A8)+COUNTBLANK('Lista de Preços'!$B8)+COUNTBLANK('Lista de Preços'!$C8)+COUNTBLANK('Lista de Preços'!$D8)+COUNTBLANK('Lista de Preços'!$E8)+COUNTBLANK('Lista de Preços'!$F8)+COUNTBLANK('Lista de Preços'!$L8)+COUNTBLANK('Lista de Preços'!$M8)+COUNTBLANK('Lista de Preços'!$P8)+COUNTBLANK('Lista de Preços'!$U8)+COUNTBLANK('Lista de Preços'!$V8))&gt;0,"ERRO","OK"),"")</f>
        <v/>
      </c>
      <c r="D19" s="27" t="str">
        <f aca="false">IF(COUNTA('Lista de Preços'!$A8:$W8)&gt;0,IF(OR(AND('Lista de Preços'!$L8&lt;&gt;"",NOT(ISNUMBER('Lista de Preços'!$L8))),AND('Lista de Preços'!$M8&lt;&gt;"",NOT(ISNUMBER('Lista de Preços'!$M8)))),"ERRO","OK"),"")</f>
        <v/>
      </c>
      <c r="E19" s="27" t="str">
        <f aca="false">IF(COUNTA('Lista de Preços'!$A8:$W8)&gt;0,IF(AND(ISNUMBER('Lista de Preços'!$L8),ISNUMBER('Lista de Preços'!$M8),'Lista de Preços'!$L8&gt;'Lista de Preços'!$M8),"ERRO","OK"),"")</f>
        <v/>
      </c>
      <c r="F19" s="27" t="str">
        <f aca="true">IF(COUNTA('Lista de Preços'!$A8:$W8)&gt;0,IF(AND('Lista de Preços'!$S8&lt;&gt;"",ISNUMBER('Lista de Preços'!$S8),'Lista de Preços'!$S8&lt;TODAY()),"ERRO","OK"),"")</f>
        <v/>
      </c>
      <c r="G19" s="27" t="str">
        <f aca="false">IF(COUNTA('Lista de Preços'!$A8:$W8)&gt;0,IF(AND('Lista de Preços'!$A8&lt;&gt;"",COUNTIF('Lista de Preços'!$A$4:$A$503,'Lista de Preços'!$A8)&gt;1),"ERRO","OK"),"")</f>
        <v/>
      </c>
      <c r="H19" s="27" t="str">
        <f aca="false">IF(COUNTA('Lista de Preços'!$A8:$W8)&gt;0,IF(AND('Lista de Preços'!$N8&lt;&gt;"",ISNUMBER('Lista de Preços'!$N8),OR('Lista de Preços'!$N8&lt;0,'Lista de Preços'!$N8&gt;0.5)),"ERRO","OK"),"")</f>
        <v/>
      </c>
      <c r="I19" s="27" t="str">
        <f aca="false">IF(COUNTA('Lista de Preços'!$A8:$W8)&gt;0,IF(OR($C19="ERRO",$D19="ERRO",$E19="ERRO",$F19="ERRO",$G19="ERRO",$H19="ERRO"),"FALHA","OK"),"")</f>
        <v/>
      </c>
    </row>
    <row r="20" customFormat="false" ht="15" hidden="false" customHeight="false" outlineLevel="0" collapsed="false">
      <c r="A20" s="26" t="n">
        <f aca="false">'Lista de Preços'!$A9</f>
        <v>0</v>
      </c>
      <c r="B20" s="26" t="n">
        <f aca="false">'Lista de Preços'!$B9</f>
        <v>0</v>
      </c>
      <c r="C20" s="27" t="str">
        <f aca="false">IF(COUNTA('Lista de Preços'!$A9:$W9)&gt;0,IF((COUNTBLANK('Lista de Preços'!$A9)+COUNTBLANK('Lista de Preços'!$B9)+COUNTBLANK('Lista de Preços'!$C9)+COUNTBLANK('Lista de Preços'!$D9)+COUNTBLANK('Lista de Preços'!$E9)+COUNTBLANK('Lista de Preços'!$F9)+COUNTBLANK('Lista de Preços'!$L9)+COUNTBLANK('Lista de Preços'!$M9)+COUNTBLANK('Lista de Preços'!$P9)+COUNTBLANK('Lista de Preços'!$U9)+COUNTBLANK('Lista de Preços'!$V9))&gt;0,"ERRO","OK"),"")</f>
        <v/>
      </c>
      <c r="D20" s="27" t="str">
        <f aca="false">IF(COUNTA('Lista de Preços'!$A9:$W9)&gt;0,IF(OR(AND('Lista de Preços'!$L9&lt;&gt;"",NOT(ISNUMBER('Lista de Preços'!$L9))),AND('Lista de Preços'!$M9&lt;&gt;"",NOT(ISNUMBER('Lista de Preços'!$M9)))),"ERRO","OK"),"")</f>
        <v/>
      </c>
      <c r="E20" s="27" t="str">
        <f aca="false">IF(COUNTA('Lista de Preços'!$A9:$W9)&gt;0,IF(AND(ISNUMBER('Lista de Preços'!$L9),ISNUMBER('Lista de Preços'!$M9),'Lista de Preços'!$L9&gt;'Lista de Preços'!$M9),"ERRO","OK"),"")</f>
        <v/>
      </c>
      <c r="F20" s="27" t="str">
        <f aca="true">IF(COUNTA('Lista de Preços'!$A9:$W9)&gt;0,IF(AND('Lista de Preços'!$S9&lt;&gt;"",ISNUMBER('Lista de Preços'!$S9),'Lista de Preços'!$S9&lt;TODAY()),"ERRO","OK"),"")</f>
        <v/>
      </c>
      <c r="G20" s="27" t="str">
        <f aca="false">IF(COUNTA('Lista de Preços'!$A9:$W9)&gt;0,IF(AND('Lista de Preços'!$A9&lt;&gt;"",COUNTIF('Lista de Preços'!$A$4:$A$503,'Lista de Preços'!$A9)&gt;1),"ERRO","OK"),"")</f>
        <v/>
      </c>
      <c r="H20" s="27" t="str">
        <f aca="false">IF(COUNTA('Lista de Preços'!$A9:$W9)&gt;0,IF(AND('Lista de Preços'!$N9&lt;&gt;"",ISNUMBER('Lista de Preços'!$N9),OR('Lista de Preços'!$N9&lt;0,'Lista de Preços'!$N9&gt;0.5)),"ERRO","OK"),"")</f>
        <v/>
      </c>
      <c r="I20" s="27" t="str">
        <f aca="false">IF(COUNTA('Lista de Preços'!$A9:$W9)&gt;0,IF(OR($C20="ERRO",$D20="ERRO",$E20="ERRO",$F20="ERRO",$G20="ERRO",$H20="ERRO"),"FALHA","OK"),"")</f>
        <v/>
      </c>
    </row>
    <row r="21" customFormat="false" ht="15" hidden="false" customHeight="false" outlineLevel="0" collapsed="false">
      <c r="A21" s="26" t="n">
        <f aca="false">'Lista de Preços'!$A10</f>
        <v>0</v>
      </c>
      <c r="B21" s="26" t="n">
        <f aca="false">'Lista de Preços'!$B10</f>
        <v>0</v>
      </c>
      <c r="C21" s="27" t="str">
        <f aca="false">IF(COUNTA('Lista de Preços'!$A10:$W10)&gt;0,IF((COUNTBLANK('Lista de Preços'!$A10)+COUNTBLANK('Lista de Preços'!$B10)+COUNTBLANK('Lista de Preços'!$C10)+COUNTBLANK('Lista de Preços'!$D10)+COUNTBLANK('Lista de Preços'!$E10)+COUNTBLANK('Lista de Preços'!$F10)+COUNTBLANK('Lista de Preços'!$L10)+COUNTBLANK('Lista de Preços'!$M10)+COUNTBLANK('Lista de Preços'!$P10)+COUNTBLANK('Lista de Preços'!$U10)+COUNTBLANK('Lista de Preços'!$V10))&gt;0,"ERRO","OK"),"")</f>
        <v/>
      </c>
      <c r="D21" s="27" t="str">
        <f aca="false">IF(COUNTA('Lista de Preços'!$A10:$W10)&gt;0,IF(OR(AND('Lista de Preços'!$L10&lt;&gt;"",NOT(ISNUMBER('Lista de Preços'!$L10))),AND('Lista de Preços'!$M10&lt;&gt;"",NOT(ISNUMBER('Lista de Preços'!$M10)))),"ERRO","OK"),"")</f>
        <v/>
      </c>
      <c r="E21" s="27" t="str">
        <f aca="false">IF(COUNTA('Lista de Preços'!$A10:$W10)&gt;0,IF(AND(ISNUMBER('Lista de Preços'!$L10),ISNUMBER('Lista de Preços'!$M10),'Lista de Preços'!$L10&gt;'Lista de Preços'!$M10),"ERRO","OK"),"")</f>
        <v/>
      </c>
      <c r="F21" s="27" t="str">
        <f aca="true">IF(COUNTA('Lista de Preços'!$A10:$W10)&gt;0,IF(AND('Lista de Preços'!$S10&lt;&gt;"",ISNUMBER('Lista de Preços'!$S10),'Lista de Preços'!$S10&lt;TODAY()),"ERRO","OK"),"")</f>
        <v/>
      </c>
      <c r="G21" s="27" t="str">
        <f aca="false">IF(COUNTA('Lista de Preços'!$A10:$W10)&gt;0,IF(AND('Lista de Preços'!$A10&lt;&gt;"",COUNTIF('Lista de Preços'!$A$4:$A$503,'Lista de Preços'!$A10)&gt;1),"ERRO","OK"),"")</f>
        <v/>
      </c>
      <c r="H21" s="27" t="str">
        <f aca="false">IF(COUNTA('Lista de Preços'!$A10:$W10)&gt;0,IF(AND('Lista de Preços'!$N10&lt;&gt;"",ISNUMBER('Lista de Preços'!$N10),OR('Lista de Preços'!$N10&lt;0,'Lista de Preços'!$N10&gt;0.5)),"ERRO","OK"),"")</f>
        <v/>
      </c>
      <c r="I21" s="27" t="str">
        <f aca="false">IF(COUNTA('Lista de Preços'!$A10:$W10)&gt;0,IF(OR($C21="ERRO",$D21="ERRO",$E21="ERRO",$F21="ERRO",$G21="ERRO",$H21="ERRO"),"FALHA","OK"),"")</f>
        <v/>
      </c>
    </row>
    <row r="22" customFormat="false" ht="15" hidden="false" customHeight="false" outlineLevel="0" collapsed="false">
      <c r="A22" s="26" t="n">
        <f aca="false">'Lista de Preços'!$A11</f>
        <v>0</v>
      </c>
      <c r="B22" s="26" t="n">
        <f aca="false">'Lista de Preços'!$B11</f>
        <v>0</v>
      </c>
      <c r="C22" s="27" t="str">
        <f aca="false">IF(COUNTA('Lista de Preços'!$A11:$W11)&gt;0,IF((COUNTBLANK('Lista de Preços'!$A11)+COUNTBLANK('Lista de Preços'!$B11)+COUNTBLANK('Lista de Preços'!$C11)+COUNTBLANK('Lista de Preços'!$D11)+COUNTBLANK('Lista de Preços'!$E11)+COUNTBLANK('Lista de Preços'!$F11)+COUNTBLANK('Lista de Preços'!$L11)+COUNTBLANK('Lista de Preços'!$M11)+COUNTBLANK('Lista de Preços'!$P11)+COUNTBLANK('Lista de Preços'!$U11)+COUNTBLANK('Lista de Preços'!$V11))&gt;0,"ERRO","OK"),"")</f>
        <v/>
      </c>
      <c r="D22" s="27" t="str">
        <f aca="false">IF(COUNTA('Lista de Preços'!$A11:$W11)&gt;0,IF(OR(AND('Lista de Preços'!$L11&lt;&gt;"",NOT(ISNUMBER('Lista de Preços'!$L11))),AND('Lista de Preços'!$M11&lt;&gt;"",NOT(ISNUMBER('Lista de Preços'!$M11)))),"ERRO","OK"),"")</f>
        <v/>
      </c>
      <c r="E22" s="27" t="str">
        <f aca="false">IF(COUNTA('Lista de Preços'!$A11:$W11)&gt;0,IF(AND(ISNUMBER('Lista de Preços'!$L11),ISNUMBER('Lista de Preços'!$M11),'Lista de Preços'!$L11&gt;'Lista de Preços'!$M11),"ERRO","OK"),"")</f>
        <v/>
      </c>
      <c r="F22" s="27" t="str">
        <f aca="true">IF(COUNTA('Lista de Preços'!$A11:$W11)&gt;0,IF(AND('Lista de Preços'!$S11&lt;&gt;"",ISNUMBER('Lista de Preços'!$S11),'Lista de Preços'!$S11&lt;TODAY()),"ERRO","OK"),"")</f>
        <v/>
      </c>
      <c r="G22" s="27" t="str">
        <f aca="false">IF(COUNTA('Lista de Preços'!$A11:$W11)&gt;0,IF(AND('Lista de Preços'!$A11&lt;&gt;"",COUNTIF('Lista de Preços'!$A$4:$A$503,'Lista de Preços'!$A11)&gt;1),"ERRO","OK"),"")</f>
        <v/>
      </c>
      <c r="H22" s="27" t="str">
        <f aca="false">IF(COUNTA('Lista de Preços'!$A11:$W11)&gt;0,IF(AND('Lista de Preços'!$N11&lt;&gt;"",ISNUMBER('Lista de Preços'!$N11),OR('Lista de Preços'!$N11&lt;0,'Lista de Preços'!$N11&gt;0.5)),"ERRO","OK"),"")</f>
        <v/>
      </c>
      <c r="I22" s="27" t="str">
        <f aca="false">IF(COUNTA('Lista de Preços'!$A11:$W11)&gt;0,IF(OR($C22="ERRO",$D22="ERRO",$E22="ERRO",$F22="ERRO",$G22="ERRO",$H22="ERRO"),"FALHA","OK"),"")</f>
        <v/>
      </c>
    </row>
    <row r="23" customFormat="false" ht="15" hidden="false" customHeight="false" outlineLevel="0" collapsed="false">
      <c r="A23" s="26" t="n">
        <f aca="false">'Lista de Preços'!$A12</f>
        <v>0</v>
      </c>
      <c r="B23" s="26" t="n">
        <f aca="false">'Lista de Preços'!$B12</f>
        <v>0</v>
      </c>
      <c r="C23" s="27" t="str">
        <f aca="false">IF(COUNTA('Lista de Preços'!$A12:$W12)&gt;0,IF((COUNTBLANK('Lista de Preços'!$A12)+COUNTBLANK('Lista de Preços'!$B12)+COUNTBLANK('Lista de Preços'!$C12)+COUNTBLANK('Lista de Preços'!$D12)+COUNTBLANK('Lista de Preços'!$E12)+COUNTBLANK('Lista de Preços'!$F12)+COUNTBLANK('Lista de Preços'!$L12)+COUNTBLANK('Lista de Preços'!$M12)+COUNTBLANK('Lista de Preços'!$P12)+COUNTBLANK('Lista de Preços'!$U12)+COUNTBLANK('Lista de Preços'!$V12))&gt;0,"ERRO","OK"),"")</f>
        <v/>
      </c>
      <c r="D23" s="27" t="str">
        <f aca="false">IF(COUNTA('Lista de Preços'!$A12:$W12)&gt;0,IF(OR(AND('Lista de Preços'!$L12&lt;&gt;"",NOT(ISNUMBER('Lista de Preços'!$L12))),AND('Lista de Preços'!$M12&lt;&gt;"",NOT(ISNUMBER('Lista de Preços'!$M12)))),"ERRO","OK"),"")</f>
        <v/>
      </c>
      <c r="E23" s="27" t="str">
        <f aca="false">IF(COUNTA('Lista de Preços'!$A12:$W12)&gt;0,IF(AND(ISNUMBER('Lista de Preços'!$L12),ISNUMBER('Lista de Preços'!$M12),'Lista de Preços'!$L12&gt;'Lista de Preços'!$M12),"ERRO","OK"),"")</f>
        <v/>
      </c>
      <c r="F23" s="27" t="str">
        <f aca="true">IF(COUNTA('Lista de Preços'!$A12:$W12)&gt;0,IF(AND('Lista de Preços'!$S12&lt;&gt;"",ISNUMBER('Lista de Preços'!$S12),'Lista de Preços'!$S12&lt;TODAY()),"ERRO","OK"),"")</f>
        <v/>
      </c>
      <c r="G23" s="27" t="str">
        <f aca="false">IF(COUNTA('Lista de Preços'!$A12:$W12)&gt;0,IF(AND('Lista de Preços'!$A12&lt;&gt;"",COUNTIF('Lista de Preços'!$A$4:$A$503,'Lista de Preços'!$A12)&gt;1),"ERRO","OK"),"")</f>
        <v/>
      </c>
      <c r="H23" s="27" t="str">
        <f aca="false">IF(COUNTA('Lista de Preços'!$A12:$W12)&gt;0,IF(AND('Lista de Preços'!$N12&lt;&gt;"",ISNUMBER('Lista de Preços'!$N12),OR('Lista de Preços'!$N12&lt;0,'Lista de Preços'!$N12&gt;0.5)),"ERRO","OK"),"")</f>
        <v/>
      </c>
      <c r="I23" s="27" t="str">
        <f aca="false">IF(COUNTA('Lista de Preços'!$A12:$W12)&gt;0,IF(OR($C23="ERRO",$D23="ERRO",$E23="ERRO",$F23="ERRO",$G23="ERRO",$H23="ERRO"),"FALHA","OK"),"")</f>
        <v/>
      </c>
    </row>
    <row r="24" customFormat="false" ht="15" hidden="false" customHeight="false" outlineLevel="0" collapsed="false">
      <c r="A24" s="26" t="n">
        <f aca="false">'Lista de Preços'!$A13</f>
        <v>0</v>
      </c>
      <c r="B24" s="26" t="n">
        <f aca="false">'Lista de Preços'!$B13</f>
        <v>0</v>
      </c>
      <c r="C24" s="27" t="str">
        <f aca="false">IF(COUNTA('Lista de Preços'!$A13:$W13)&gt;0,IF((COUNTBLANK('Lista de Preços'!$A13)+COUNTBLANK('Lista de Preços'!$B13)+COUNTBLANK('Lista de Preços'!$C13)+COUNTBLANK('Lista de Preços'!$D13)+COUNTBLANK('Lista de Preços'!$E13)+COUNTBLANK('Lista de Preços'!$F13)+COUNTBLANK('Lista de Preços'!$L13)+COUNTBLANK('Lista de Preços'!$M13)+COUNTBLANK('Lista de Preços'!$P13)+COUNTBLANK('Lista de Preços'!$U13)+COUNTBLANK('Lista de Preços'!$V13))&gt;0,"ERRO","OK"),"")</f>
        <v/>
      </c>
      <c r="D24" s="27" t="str">
        <f aca="false">IF(COUNTA('Lista de Preços'!$A13:$W13)&gt;0,IF(OR(AND('Lista de Preços'!$L13&lt;&gt;"",NOT(ISNUMBER('Lista de Preços'!$L13))),AND('Lista de Preços'!$M13&lt;&gt;"",NOT(ISNUMBER('Lista de Preços'!$M13)))),"ERRO","OK"),"")</f>
        <v/>
      </c>
      <c r="E24" s="27" t="str">
        <f aca="false">IF(COUNTA('Lista de Preços'!$A13:$W13)&gt;0,IF(AND(ISNUMBER('Lista de Preços'!$L13),ISNUMBER('Lista de Preços'!$M13),'Lista de Preços'!$L13&gt;'Lista de Preços'!$M13),"ERRO","OK"),"")</f>
        <v/>
      </c>
      <c r="F24" s="27" t="str">
        <f aca="true">IF(COUNTA('Lista de Preços'!$A13:$W13)&gt;0,IF(AND('Lista de Preços'!$S13&lt;&gt;"",ISNUMBER('Lista de Preços'!$S13),'Lista de Preços'!$S13&lt;TODAY()),"ERRO","OK"),"")</f>
        <v/>
      </c>
      <c r="G24" s="27" t="str">
        <f aca="false">IF(COUNTA('Lista de Preços'!$A13:$W13)&gt;0,IF(AND('Lista de Preços'!$A13&lt;&gt;"",COUNTIF('Lista de Preços'!$A$4:$A$503,'Lista de Preços'!$A13)&gt;1),"ERRO","OK"),"")</f>
        <v/>
      </c>
      <c r="H24" s="27" t="str">
        <f aca="false">IF(COUNTA('Lista de Preços'!$A13:$W13)&gt;0,IF(AND('Lista de Preços'!$N13&lt;&gt;"",ISNUMBER('Lista de Preços'!$N13),OR('Lista de Preços'!$N13&lt;0,'Lista de Preços'!$N13&gt;0.5)),"ERRO","OK"),"")</f>
        <v/>
      </c>
      <c r="I24" s="27" t="str">
        <f aca="false">IF(COUNTA('Lista de Preços'!$A13:$W13)&gt;0,IF(OR($C24="ERRO",$D24="ERRO",$E24="ERRO",$F24="ERRO",$G24="ERRO",$H24="ERRO"),"FALHA","OK"),"")</f>
        <v/>
      </c>
    </row>
    <row r="25" customFormat="false" ht="15" hidden="false" customHeight="false" outlineLevel="0" collapsed="false">
      <c r="A25" s="26" t="n">
        <f aca="false">'Lista de Preços'!$A14</f>
        <v>0</v>
      </c>
      <c r="B25" s="26" t="n">
        <f aca="false">'Lista de Preços'!$B14</f>
        <v>0</v>
      </c>
      <c r="C25" s="27" t="str">
        <f aca="false">IF(COUNTA('Lista de Preços'!$A14:$W14)&gt;0,IF((COUNTBLANK('Lista de Preços'!$A14)+COUNTBLANK('Lista de Preços'!$B14)+COUNTBLANK('Lista de Preços'!$C14)+COUNTBLANK('Lista de Preços'!$D14)+COUNTBLANK('Lista de Preços'!$E14)+COUNTBLANK('Lista de Preços'!$F14)+COUNTBLANK('Lista de Preços'!$L14)+COUNTBLANK('Lista de Preços'!$M14)+COUNTBLANK('Lista de Preços'!$P14)+COUNTBLANK('Lista de Preços'!$U14)+COUNTBLANK('Lista de Preços'!$V14))&gt;0,"ERRO","OK"),"")</f>
        <v/>
      </c>
      <c r="D25" s="27" t="str">
        <f aca="false">IF(COUNTA('Lista de Preços'!$A14:$W14)&gt;0,IF(OR(AND('Lista de Preços'!$L14&lt;&gt;"",NOT(ISNUMBER('Lista de Preços'!$L14))),AND('Lista de Preços'!$M14&lt;&gt;"",NOT(ISNUMBER('Lista de Preços'!$M14)))),"ERRO","OK"),"")</f>
        <v/>
      </c>
      <c r="E25" s="27" t="str">
        <f aca="false">IF(COUNTA('Lista de Preços'!$A14:$W14)&gt;0,IF(AND(ISNUMBER('Lista de Preços'!$L14),ISNUMBER('Lista de Preços'!$M14),'Lista de Preços'!$L14&gt;'Lista de Preços'!$M14),"ERRO","OK"),"")</f>
        <v/>
      </c>
      <c r="F25" s="27" t="str">
        <f aca="true">IF(COUNTA('Lista de Preços'!$A14:$W14)&gt;0,IF(AND('Lista de Preços'!$S14&lt;&gt;"",ISNUMBER('Lista de Preços'!$S14),'Lista de Preços'!$S14&lt;TODAY()),"ERRO","OK"),"")</f>
        <v/>
      </c>
      <c r="G25" s="27" t="str">
        <f aca="false">IF(COUNTA('Lista de Preços'!$A14:$W14)&gt;0,IF(AND('Lista de Preços'!$A14&lt;&gt;"",COUNTIF('Lista de Preços'!$A$4:$A$503,'Lista de Preços'!$A14)&gt;1),"ERRO","OK"),"")</f>
        <v/>
      </c>
      <c r="H25" s="27" t="str">
        <f aca="false">IF(COUNTA('Lista de Preços'!$A14:$W14)&gt;0,IF(AND('Lista de Preços'!$N14&lt;&gt;"",ISNUMBER('Lista de Preços'!$N14),OR('Lista de Preços'!$N14&lt;0,'Lista de Preços'!$N14&gt;0.5)),"ERRO","OK"),"")</f>
        <v/>
      </c>
      <c r="I25" s="27" t="str">
        <f aca="false">IF(COUNTA('Lista de Preços'!$A14:$W14)&gt;0,IF(OR($C25="ERRO",$D25="ERRO",$E25="ERRO",$F25="ERRO",$G25="ERRO",$H25="ERRO"),"FALHA","OK"),"")</f>
        <v/>
      </c>
    </row>
    <row r="26" customFormat="false" ht="15" hidden="false" customHeight="false" outlineLevel="0" collapsed="false">
      <c r="A26" s="26" t="n">
        <f aca="false">'Lista de Preços'!$A15</f>
        <v>0</v>
      </c>
      <c r="B26" s="26" t="n">
        <f aca="false">'Lista de Preços'!$B15</f>
        <v>0</v>
      </c>
      <c r="C26" s="27" t="str">
        <f aca="false">IF(COUNTA('Lista de Preços'!$A15:$W15)&gt;0,IF((COUNTBLANK('Lista de Preços'!$A15)+COUNTBLANK('Lista de Preços'!$B15)+COUNTBLANK('Lista de Preços'!$C15)+COUNTBLANK('Lista de Preços'!$D15)+COUNTBLANK('Lista de Preços'!$E15)+COUNTBLANK('Lista de Preços'!$F15)+COUNTBLANK('Lista de Preços'!$L15)+COUNTBLANK('Lista de Preços'!$M15)+COUNTBLANK('Lista de Preços'!$P15)+COUNTBLANK('Lista de Preços'!$U15)+COUNTBLANK('Lista de Preços'!$V15))&gt;0,"ERRO","OK"),"")</f>
        <v/>
      </c>
      <c r="D26" s="27" t="str">
        <f aca="false">IF(COUNTA('Lista de Preços'!$A15:$W15)&gt;0,IF(OR(AND('Lista de Preços'!$L15&lt;&gt;"",NOT(ISNUMBER('Lista de Preços'!$L15))),AND('Lista de Preços'!$M15&lt;&gt;"",NOT(ISNUMBER('Lista de Preços'!$M15)))),"ERRO","OK"),"")</f>
        <v/>
      </c>
      <c r="E26" s="27" t="str">
        <f aca="false">IF(COUNTA('Lista de Preços'!$A15:$W15)&gt;0,IF(AND(ISNUMBER('Lista de Preços'!$L15),ISNUMBER('Lista de Preços'!$M15),'Lista de Preços'!$L15&gt;'Lista de Preços'!$M15),"ERRO","OK"),"")</f>
        <v/>
      </c>
      <c r="F26" s="27" t="str">
        <f aca="true">IF(COUNTA('Lista de Preços'!$A15:$W15)&gt;0,IF(AND('Lista de Preços'!$S15&lt;&gt;"",ISNUMBER('Lista de Preços'!$S15),'Lista de Preços'!$S15&lt;TODAY()),"ERRO","OK"),"")</f>
        <v/>
      </c>
      <c r="G26" s="27" t="str">
        <f aca="false">IF(COUNTA('Lista de Preços'!$A15:$W15)&gt;0,IF(AND('Lista de Preços'!$A15&lt;&gt;"",COUNTIF('Lista de Preços'!$A$4:$A$503,'Lista de Preços'!$A15)&gt;1),"ERRO","OK"),"")</f>
        <v/>
      </c>
      <c r="H26" s="27" t="str">
        <f aca="false">IF(COUNTA('Lista de Preços'!$A15:$W15)&gt;0,IF(AND('Lista de Preços'!$N15&lt;&gt;"",ISNUMBER('Lista de Preços'!$N15),OR('Lista de Preços'!$N15&lt;0,'Lista de Preços'!$N15&gt;0.5)),"ERRO","OK"),"")</f>
        <v/>
      </c>
      <c r="I26" s="27" t="str">
        <f aca="false">IF(COUNTA('Lista de Preços'!$A15:$W15)&gt;0,IF(OR($C26="ERRO",$D26="ERRO",$E26="ERRO",$F26="ERRO",$G26="ERRO",$H26="ERRO"),"FALHA","OK"),"")</f>
        <v/>
      </c>
    </row>
    <row r="27" customFormat="false" ht="15" hidden="false" customHeight="false" outlineLevel="0" collapsed="false">
      <c r="A27" s="26" t="n">
        <f aca="false">'Lista de Preços'!$A16</f>
        <v>0</v>
      </c>
      <c r="B27" s="26" t="n">
        <f aca="false">'Lista de Preços'!$B16</f>
        <v>0</v>
      </c>
      <c r="C27" s="27" t="str">
        <f aca="false">IF(COUNTA('Lista de Preços'!$A16:$W16)&gt;0,IF((COUNTBLANK('Lista de Preços'!$A16)+COUNTBLANK('Lista de Preços'!$B16)+COUNTBLANK('Lista de Preços'!$C16)+COUNTBLANK('Lista de Preços'!$D16)+COUNTBLANK('Lista de Preços'!$E16)+COUNTBLANK('Lista de Preços'!$F16)+COUNTBLANK('Lista de Preços'!$L16)+COUNTBLANK('Lista de Preços'!$M16)+COUNTBLANK('Lista de Preços'!$P16)+COUNTBLANK('Lista de Preços'!$U16)+COUNTBLANK('Lista de Preços'!$V16))&gt;0,"ERRO","OK"),"")</f>
        <v/>
      </c>
      <c r="D27" s="27" t="str">
        <f aca="false">IF(COUNTA('Lista de Preços'!$A16:$W16)&gt;0,IF(OR(AND('Lista de Preços'!$L16&lt;&gt;"",NOT(ISNUMBER('Lista de Preços'!$L16))),AND('Lista de Preços'!$M16&lt;&gt;"",NOT(ISNUMBER('Lista de Preços'!$M16)))),"ERRO","OK"),"")</f>
        <v/>
      </c>
      <c r="E27" s="27" t="str">
        <f aca="false">IF(COUNTA('Lista de Preços'!$A16:$W16)&gt;0,IF(AND(ISNUMBER('Lista de Preços'!$L16),ISNUMBER('Lista de Preços'!$M16),'Lista de Preços'!$L16&gt;'Lista de Preços'!$M16),"ERRO","OK"),"")</f>
        <v/>
      </c>
      <c r="F27" s="27" t="str">
        <f aca="true">IF(COUNTA('Lista de Preços'!$A16:$W16)&gt;0,IF(AND('Lista de Preços'!$S16&lt;&gt;"",ISNUMBER('Lista de Preços'!$S16),'Lista de Preços'!$S16&lt;TODAY()),"ERRO","OK"),"")</f>
        <v/>
      </c>
      <c r="G27" s="27" t="str">
        <f aca="false">IF(COUNTA('Lista de Preços'!$A16:$W16)&gt;0,IF(AND('Lista de Preços'!$A16&lt;&gt;"",COUNTIF('Lista de Preços'!$A$4:$A$503,'Lista de Preços'!$A16)&gt;1),"ERRO","OK"),"")</f>
        <v/>
      </c>
      <c r="H27" s="27" t="str">
        <f aca="false">IF(COUNTA('Lista de Preços'!$A16:$W16)&gt;0,IF(AND('Lista de Preços'!$N16&lt;&gt;"",ISNUMBER('Lista de Preços'!$N16),OR('Lista de Preços'!$N16&lt;0,'Lista de Preços'!$N16&gt;0.5)),"ERRO","OK"),"")</f>
        <v/>
      </c>
      <c r="I27" s="27" t="str">
        <f aca="false">IF(COUNTA('Lista de Preços'!$A16:$W16)&gt;0,IF(OR($C27="ERRO",$D27="ERRO",$E27="ERRO",$F27="ERRO",$G27="ERRO",$H27="ERRO"),"FALHA","OK"),"")</f>
        <v/>
      </c>
    </row>
    <row r="28" customFormat="false" ht="15" hidden="false" customHeight="false" outlineLevel="0" collapsed="false">
      <c r="A28" s="26" t="n">
        <f aca="false">'Lista de Preços'!$A17</f>
        <v>0</v>
      </c>
      <c r="B28" s="26" t="n">
        <f aca="false">'Lista de Preços'!$B17</f>
        <v>0</v>
      </c>
      <c r="C28" s="27" t="str">
        <f aca="false">IF(COUNTA('Lista de Preços'!$A17:$W17)&gt;0,IF((COUNTBLANK('Lista de Preços'!$A17)+COUNTBLANK('Lista de Preços'!$B17)+COUNTBLANK('Lista de Preços'!$C17)+COUNTBLANK('Lista de Preços'!$D17)+COUNTBLANK('Lista de Preços'!$E17)+COUNTBLANK('Lista de Preços'!$F17)+COUNTBLANK('Lista de Preços'!$L17)+COUNTBLANK('Lista de Preços'!$M17)+COUNTBLANK('Lista de Preços'!$P17)+COUNTBLANK('Lista de Preços'!$U17)+COUNTBLANK('Lista de Preços'!$V17))&gt;0,"ERRO","OK"),"")</f>
        <v/>
      </c>
      <c r="D28" s="27" t="str">
        <f aca="false">IF(COUNTA('Lista de Preços'!$A17:$W17)&gt;0,IF(OR(AND('Lista de Preços'!$L17&lt;&gt;"",NOT(ISNUMBER('Lista de Preços'!$L17))),AND('Lista de Preços'!$M17&lt;&gt;"",NOT(ISNUMBER('Lista de Preços'!$M17)))),"ERRO","OK"),"")</f>
        <v/>
      </c>
      <c r="E28" s="27" t="str">
        <f aca="false">IF(COUNTA('Lista de Preços'!$A17:$W17)&gt;0,IF(AND(ISNUMBER('Lista de Preços'!$L17),ISNUMBER('Lista de Preços'!$M17),'Lista de Preços'!$L17&gt;'Lista de Preços'!$M17),"ERRO","OK"),"")</f>
        <v/>
      </c>
      <c r="F28" s="27" t="str">
        <f aca="true">IF(COUNTA('Lista de Preços'!$A17:$W17)&gt;0,IF(AND('Lista de Preços'!$S17&lt;&gt;"",ISNUMBER('Lista de Preços'!$S17),'Lista de Preços'!$S17&lt;TODAY()),"ERRO","OK"),"")</f>
        <v/>
      </c>
      <c r="G28" s="27" t="str">
        <f aca="false">IF(COUNTA('Lista de Preços'!$A17:$W17)&gt;0,IF(AND('Lista de Preços'!$A17&lt;&gt;"",COUNTIF('Lista de Preços'!$A$4:$A$503,'Lista de Preços'!$A17)&gt;1),"ERRO","OK"),"")</f>
        <v/>
      </c>
      <c r="H28" s="27" t="str">
        <f aca="false">IF(COUNTA('Lista de Preços'!$A17:$W17)&gt;0,IF(AND('Lista de Preços'!$N17&lt;&gt;"",ISNUMBER('Lista de Preços'!$N17),OR('Lista de Preços'!$N17&lt;0,'Lista de Preços'!$N17&gt;0.5)),"ERRO","OK"),"")</f>
        <v/>
      </c>
      <c r="I28" s="27" t="str">
        <f aca="false">IF(COUNTA('Lista de Preços'!$A17:$W17)&gt;0,IF(OR($C28="ERRO",$D28="ERRO",$E28="ERRO",$F28="ERRO",$G28="ERRO",$H28="ERRO"),"FALHA","OK"),"")</f>
        <v/>
      </c>
    </row>
    <row r="29" customFormat="false" ht="15" hidden="false" customHeight="false" outlineLevel="0" collapsed="false">
      <c r="A29" s="26" t="n">
        <f aca="false">'Lista de Preços'!$A18</f>
        <v>0</v>
      </c>
      <c r="B29" s="26" t="n">
        <f aca="false">'Lista de Preços'!$B18</f>
        <v>0</v>
      </c>
      <c r="C29" s="27" t="str">
        <f aca="false">IF(COUNTA('Lista de Preços'!$A18:$W18)&gt;0,IF((COUNTBLANK('Lista de Preços'!$A18)+COUNTBLANK('Lista de Preços'!$B18)+COUNTBLANK('Lista de Preços'!$C18)+COUNTBLANK('Lista de Preços'!$D18)+COUNTBLANK('Lista de Preços'!$E18)+COUNTBLANK('Lista de Preços'!$F18)+COUNTBLANK('Lista de Preços'!$L18)+COUNTBLANK('Lista de Preços'!$M18)+COUNTBLANK('Lista de Preços'!$P18)+COUNTBLANK('Lista de Preços'!$U18)+COUNTBLANK('Lista de Preços'!$V18))&gt;0,"ERRO","OK"),"")</f>
        <v/>
      </c>
      <c r="D29" s="27" t="str">
        <f aca="false">IF(COUNTA('Lista de Preços'!$A18:$W18)&gt;0,IF(OR(AND('Lista de Preços'!$L18&lt;&gt;"",NOT(ISNUMBER('Lista de Preços'!$L18))),AND('Lista de Preços'!$M18&lt;&gt;"",NOT(ISNUMBER('Lista de Preços'!$M18)))),"ERRO","OK"),"")</f>
        <v/>
      </c>
      <c r="E29" s="27" t="str">
        <f aca="false">IF(COUNTA('Lista de Preços'!$A18:$W18)&gt;0,IF(AND(ISNUMBER('Lista de Preços'!$L18),ISNUMBER('Lista de Preços'!$M18),'Lista de Preços'!$L18&gt;'Lista de Preços'!$M18),"ERRO","OK"),"")</f>
        <v/>
      </c>
      <c r="F29" s="27" t="str">
        <f aca="true">IF(COUNTA('Lista de Preços'!$A18:$W18)&gt;0,IF(AND('Lista de Preços'!$S18&lt;&gt;"",ISNUMBER('Lista de Preços'!$S18),'Lista de Preços'!$S18&lt;TODAY()),"ERRO","OK"),"")</f>
        <v/>
      </c>
      <c r="G29" s="27" t="str">
        <f aca="false">IF(COUNTA('Lista de Preços'!$A18:$W18)&gt;0,IF(AND('Lista de Preços'!$A18&lt;&gt;"",COUNTIF('Lista de Preços'!$A$4:$A$503,'Lista de Preços'!$A18)&gt;1),"ERRO","OK"),"")</f>
        <v/>
      </c>
      <c r="H29" s="27" t="str">
        <f aca="false">IF(COUNTA('Lista de Preços'!$A18:$W18)&gt;0,IF(AND('Lista de Preços'!$N18&lt;&gt;"",ISNUMBER('Lista de Preços'!$N18),OR('Lista de Preços'!$N18&lt;0,'Lista de Preços'!$N18&gt;0.5)),"ERRO","OK"),"")</f>
        <v/>
      </c>
      <c r="I29" s="27" t="str">
        <f aca="false">IF(COUNTA('Lista de Preços'!$A18:$W18)&gt;0,IF(OR($C29="ERRO",$D29="ERRO",$E29="ERRO",$F29="ERRO",$G29="ERRO",$H29="ERRO"),"FALHA","OK"),"")</f>
        <v/>
      </c>
    </row>
    <row r="30" customFormat="false" ht="15" hidden="false" customHeight="false" outlineLevel="0" collapsed="false">
      <c r="A30" s="26" t="n">
        <f aca="false">'Lista de Preços'!$A19</f>
        <v>0</v>
      </c>
      <c r="B30" s="26" t="n">
        <f aca="false">'Lista de Preços'!$B19</f>
        <v>0</v>
      </c>
      <c r="C30" s="27" t="str">
        <f aca="false">IF(COUNTA('Lista de Preços'!$A19:$W19)&gt;0,IF((COUNTBLANK('Lista de Preços'!$A19)+COUNTBLANK('Lista de Preços'!$B19)+COUNTBLANK('Lista de Preços'!$C19)+COUNTBLANK('Lista de Preços'!$D19)+COUNTBLANK('Lista de Preços'!$E19)+COUNTBLANK('Lista de Preços'!$F19)+COUNTBLANK('Lista de Preços'!$L19)+COUNTBLANK('Lista de Preços'!$M19)+COUNTBLANK('Lista de Preços'!$P19)+COUNTBLANK('Lista de Preços'!$U19)+COUNTBLANK('Lista de Preços'!$V19))&gt;0,"ERRO","OK"),"")</f>
        <v/>
      </c>
      <c r="D30" s="27" t="str">
        <f aca="false">IF(COUNTA('Lista de Preços'!$A19:$W19)&gt;0,IF(OR(AND('Lista de Preços'!$L19&lt;&gt;"",NOT(ISNUMBER('Lista de Preços'!$L19))),AND('Lista de Preços'!$M19&lt;&gt;"",NOT(ISNUMBER('Lista de Preços'!$M19)))),"ERRO","OK"),"")</f>
        <v/>
      </c>
      <c r="E30" s="27" t="str">
        <f aca="false">IF(COUNTA('Lista de Preços'!$A19:$W19)&gt;0,IF(AND(ISNUMBER('Lista de Preços'!$L19),ISNUMBER('Lista de Preços'!$M19),'Lista de Preços'!$L19&gt;'Lista de Preços'!$M19),"ERRO","OK"),"")</f>
        <v/>
      </c>
      <c r="F30" s="27" t="str">
        <f aca="true">IF(COUNTA('Lista de Preços'!$A19:$W19)&gt;0,IF(AND('Lista de Preços'!$S19&lt;&gt;"",ISNUMBER('Lista de Preços'!$S19),'Lista de Preços'!$S19&lt;TODAY()),"ERRO","OK"),"")</f>
        <v/>
      </c>
      <c r="G30" s="27" t="str">
        <f aca="false">IF(COUNTA('Lista de Preços'!$A19:$W19)&gt;0,IF(AND('Lista de Preços'!$A19&lt;&gt;"",COUNTIF('Lista de Preços'!$A$4:$A$503,'Lista de Preços'!$A19)&gt;1),"ERRO","OK"),"")</f>
        <v/>
      </c>
      <c r="H30" s="27" t="str">
        <f aca="false">IF(COUNTA('Lista de Preços'!$A19:$W19)&gt;0,IF(AND('Lista de Preços'!$N19&lt;&gt;"",ISNUMBER('Lista de Preços'!$N19),OR('Lista de Preços'!$N19&lt;0,'Lista de Preços'!$N19&gt;0.5)),"ERRO","OK"),"")</f>
        <v/>
      </c>
      <c r="I30" s="27" t="str">
        <f aca="false">IF(COUNTA('Lista de Preços'!$A19:$W19)&gt;0,IF(OR($C30="ERRO",$D30="ERRO",$E30="ERRO",$F30="ERRO",$G30="ERRO",$H30="ERRO"),"FALHA","OK"),"")</f>
        <v/>
      </c>
    </row>
    <row r="31" customFormat="false" ht="15" hidden="false" customHeight="false" outlineLevel="0" collapsed="false">
      <c r="A31" s="26" t="n">
        <f aca="false">'Lista de Preços'!$A20</f>
        <v>0</v>
      </c>
      <c r="B31" s="26" t="n">
        <f aca="false">'Lista de Preços'!$B20</f>
        <v>0</v>
      </c>
      <c r="C31" s="27" t="str">
        <f aca="false">IF(COUNTA('Lista de Preços'!$A20:$W20)&gt;0,IF((COUNTBLANK('Lista de Preços'!$A20)+COUNTBLANK('Lista de Preços'!$B20)+COUNTBLANK('Lista de Preços'!$C20)+COUNTBLANK('Lista de Preços'!$D20)+COUNTBLANK('Lista de Preços'!$E20)+COUNTBLANK('Lista de Preços'!$F20)+COUNTBLANK('Lista de Preços'!$L20)+COUNTBLANK('Lista de Preços'!$M20)+COUNTBLANK('Lista de Preços'!$P20)+COUNTBLANK('Lista de Preços'!$U20)+COUNTBLANK('Lista de Preços'!$V20))&gt;0,"ERRO","OK"),"")</f>
        <v/>
      </c>
      <c r="D31" s="27" t="str">
        <f aca="false">IF(COUNTA('Lista de Preços'!$A20:$W20)&gt;0,IF(OR(AND('Lista de Preços'!$L20&lt;&gt;"",NOT(ISNUMBER('Lista de Preços'!$L20))),AND('Lista de Preços'!$M20&lt;&gt;"",NOT(ISNUMBER('Lista de Preços'!$M20)))),"ERRO","OK"),"")</f>
        <v/>
      </c>
      <c r="E31" s="27" t="str">
        <f aca="false">IF(COUNTA('Lista de Preços'!$A20:$W20)&gt;0,IF(AND(ISNUMBER('Lista de Preços'!$L20),ISNUMBER('Lista de Preços'!$M20),'Lista de Preços'!$L20&gt;'Lista de Preços'!$M20),"ERRO","OK"),"")</f>
        <v/>
      </c>
      <c r="F31" s="27" t="str">
        <f aca="true">IF(COUNTA('Lista de Preços'!$A20:$W20)&gt;0,IF(AND('Lista de Preços'!$S20&lt;&gt;"",ISNUMBER('Lista de Preços'!$S20),'Lista de Preços'!$S20&lt;TODAY()),"ERRO","OK"),"")</f>
        <v/>
      </c>
      <c r="G31" s="27" t="str">
        <f aca="false">IF(COUNTA('Lista de Preços'!$A20:$W20)&gt;0,IF(AND('Lista de Preços'!$A20&lt;&gt;"",COUNTIF('Lista de Preços'!$A$4:$A$503,'Lista de Preços'!$A20)&gt;1),"ERRO","OK"),"")</f>
        <v/>
      </c>
      <c r="H31" s="27" t="str">
        <f aca="false">IF(COUNTA('Lista de Preços'!$A20:$W20)&gt;0,IF(AND('Lista de Preços'!$N20&lt;&gt;"",ISNUMBER('Lista de Preços'!$N20),OR('Lista de Preços'!$N20&lt;0,'Lista de Preços'!$N20&gt;0.5)),"ERRO","OK"),"")</f>
        <v/>
      </c>
      <c r="I31" s="27" t="str">
        <f aca="false">IF(COUNTA('Lista de Preços'!$A20:$W20)&gt;0,IF(OR($C31="ERRO",$D31="ERRO",$E31="ERRO",$F31="ERRO",$G31="ERRO",$H31="ERRO"),"FALHA","OK"),"")</f>
        <v/>
      </c>
    </row>
    <row r="32" customFormat="false" ht="15" hidden="false" customHeight="false" outlineLevel="0" collapsed="false">
      <c r="A32" s="26" t="n">
        <f aca="false">'Lista de Preços'!$A21</f>
        <v>0</v>
      </c>
      <c r="B32" s="26" t="n">
        <f aca="false">'Lista de Preços'!$B21</f>
        <v>0</v>
      </c>
      <c r="C32" s="27" t="str">
        <f aca="false">IF(COUNTA('Lista de Preços'!$A21:$W21)&gt;0,IF((COUNTBLANK('Lista de Preços'!$A21)+COUNTBLANK('Lista de Preços'!$B21)+COUNTBLANK('Lista de Preços'!$C21)+COUNTBLANK('Lista de Preços'!$D21)+COUNTBLANK('Lista de Preços'!$E21)+COUNTBLANK('Lista de Preços'!$F21)+COUNTBLANK('Lista de Preços'!$L21)+COUNTBLANK('Lista de Preços'!$M21)+COUNTBLANK('Lista de Preços'!$P21)+COUNTBLANK('Lista de Preços'!$U21)+COUNTBLANK('Lista de Preços'!$V21))&gt;0,"ERRO","OK"),"")</f>
        <v/>
      </c>
      <c r="D32" s="27" t="str">
        <f aca="false">IF(COUNTA('Lista de Preços'!$A21:$W21)&gt;0,IF(OR(AND('Lista de Preços'!$L21&lt;&gt;"",NOT(ISNUMBER('Lista de Preços'!$L21))),AND('Lista de Preços'!$M21&lt;&gt;"",NOT(ISNUMBER('Lista de Preços'!$M21)))),"ERRO","OK"),"")</f>
        <v/>
      </c>
      <c r="E32" s="27" t="str">
        <f aca="false">IF(COUNTA('Lista de Preços'!$A21:$W21)&gt;0,IF(AND(ISNUMBER('Lista de Preços'!$L21),ISNUMBER('Lista de Preços'!$M21),'Lista de Preços'!$L21&gt;'Lista de Preços'!$M21),"ERRO","OK"),"")</f>
        <v/>
      </c>
      <c r="F32" s="27" t="str">
        <f aca="true">IF(COUNTA('Lista de Preços'!$A21:$W21)&gt;0,IF(AND('Lista de Preços'!$S21&lt;&gt;"",ISNUMBER('Lista de Preços'!$S21),'Lista de Preços'!$S21&lt;TODAY()),"ERRO","OK"),"")</f>
        <v/>
      </c>
      <c r="G32" s="27" t="str">
        <f aca="false">IF(COUNTA('Lista de Preços'!$A21:$W21)&gt;0,IF(AND('Lista de Preços'!$A21&lt;&gt;"",COUNTIF('Lista de Preços'!$A$4:$A$503,'Lista de Preços'!$A21)&gt;1),"ERRO","OK"),"")</f>
        <v/>
      </c>
      <c r="H32" s="27" t="str">
        <f aca="false">IF(COUNTA('Lista de Preços'!$A21:$W21)&gt;0,IF(AND('Lista de Preços'!$N21&lt;&gt;"",ISNUMBER('Lista de Preços'!$N21),OR('Lista de Preços'!$N21&lt;0,'Lista de Preços'!$N21&gt;0.5)),"ERRO","OK"),"")</f>
        <v/>
      </c>
      <c r="I32" s="27" t="str">
        <f aca="false">IF(COUNTA('Lista de Preços'!$A21:$W21)&gt;0,IF(OR($C32="ERRO",$D32="ERRO",$E32="ERRO",$F32="ERRO",$G32="ERRO",$H32="ERRO"),"FALHA","OK"),"")</f>
        <v/>
      </c>
    </row>
    <row r="33" customFormat="false" ht="15" hidden="false" customHeight="false" outlineLevel="0" collapsed="false">
      <c r="A33" s="26" t="n">
        <f aca="false">'Lista de Preços'!$A22</f>
        <v>0</v>
      </c>
      <c r="B33" s="26" t="n">
        <f aca="false">'Lista de Preços'!$B22</f>
        <v>0</v>
      </c>
      <c r="C33" s="27" t="str">
        <f aca="false">IF(COUNTA('Lista de Preços'!$A22:$W22)&gt;0,IF((COUNTBLANK('Lista de Preços'!$A22)+COUNTBLANK('Lista de Preços'!$B22)+COUNTBLANK('Lista de Preços'!$C22)+COUNTBLANK('Lista de Preços'!$D22)+COUNTBLANK('Lista de Preços'!$E22)+COUNTBLANK('Lista de Preços'!$F22)+COUNTBLANK('Lista de Preços'!$L22)+COUNTBLANK('Lista de Preços'!$M22)+COUNTBLANK('Lista de Preços'!$P22)+COUNTBLANK('Lista de Preços'!$U22)+COUNTBLANK('Lista de Preços'!$V22))&gt;0,"ERRO","OK"),"")</f>
        <v/>
      </c>
      <c r="D33" s="27" t="str">
        <f aca="false">IF(COUNTA('Lista de Preços'!$A22:$W22)&gt;0,IF(OR(AND('Lista de Preços'!$L22&lt;&gt;"",NOT(ISNUMBER('Lista de Preços'!$L22))),AND('Lista de Preços'!$M22&lt;&gt;"",NOT(ISNUMBER('Lista de Preços'!$M22)))),"ERRO","OK"),"")</f>
        <v/>
      </c>
      <c r="E33" s="27" t="str">
        <f aca="false">IF(COUNTA('Lista de Preços'!$A22:$W22)&gt;0,IF(AND(ISNUMBER('Lista de Preços'!$L22),ISNUMBER('Lista de Preços'!$M22),'Lista de Preços'!$L22&gt;'Lista de Preços'!$M22),"ERRO","OK"),"")</f>
        <v/>
      </c>
      <c r="F33" s="27" t="str">
        <f aca="true">IF(COUNTA('Lista de Preços'!$A22:$W22)&gt;0,IF(AND('Lista de Preços'!$S22&lt;&gt;"",ISNUMBER('Lista de Preços'!$S22),'Lista de Preços'!$S22&lt;TODAY()),"ERRO","OK"),"")</f>
        <v/>
      </c>
      <c r="G33" s="27" t="str">
        <f aca="false">IF(COUNTA('Lista de Preços'!$A22:$W22)&gt;0,IF(AND('Lista de Preços'!$A22&lt;&gt;"",COUNTIF('Lista de Preços'!$A$4:$A$503,'Lista de Preços'!$A22)&gt;1),"ERRO","OK"),"")</f>
        <v/>
      </c>
      <c r="H33" s="27" t="str">
        <f aca="false">IF(COUNTA('Lista de Preços'!$A22:$W22)&gt;0,IF(AND('Lista de Preços'!$N22&lt;&gt;"",ISNUMBER('Lista de Preços'!$N22),OR('Lista de Preços'!$N22&lt;0,'Lista de Preços'!$N22&gt;0.5)),"ERRO","OK"),"")</f>
        <v/>
      </c>
      <c r="I33" s="27" t="str">
        <f aca="false">IF(COUNTA('Lista de Preços'!$A22:$W22)&gt;0,IF(OR($C33="ERRO",$D33="ERRO",$E33="ERRO",$F33="ERRO",$G33="ERRO",$H33="ERRO"),"FALHA","OK"),"")</f>
        <v/>
      </c>
    </row>
    <row r="34" customFormat="false" ht="15" hidden="false" customHeight="false" outlineLevel="0" collapsed="false">
      <c r="A34" s="26" t="n">
        <f aca="false">'Lista de Preços'!$A23</f>
        <v>0</v>
      </c>
      <c r="B34" s="26" t="n">
        <f aca="false">'Lista de Preços'!$B23</f>
        <v>0</v>
      </c>
      <c r="C34" s="27" t="str">
        <f aca="false">IF(COUNTA('Lista de Preços'!$A23:$W23)&gt;0,IF((COUNTBLANK('Lista de Preços'!$A23)+COUNTBLANK('Lista de Preços'!$B23)+COUNTBLANK('Lista de Preços'!$C23)+COUNTBLANK('Lista de Preços'!$D23)+COUNTBLANK('Lista de Preços'!$E23)+COUNTBLANK('Lista de Preços'!$F23)+COUNTBLANK('Lista de Preços'!$L23)+COUNTBLANK('Lista de Preços'!$M23)+COUNTBLANK('Lista de Preços'!$P23)+COUNTBLANK('Lista de Preços'!$U23)+COUNTBLANK('Lista de Preços'!$V23))&gt;0,"ERRO","OK"),"")</f>
        <v/>
      </c>
      <c r="D34" s="27" t="str">
        <f aca="false">IF(COUNTA('Lista de Preços'!$A23:$W23)&gt;0,IF(OR(AND('Lista de Preços'!$L23&lt;&gt;"",NOT(ISNUMBER('Lista de Preços'!$L23))),AND('Lista de Preços'!$M23&lt;&gt;"",NOT(ISNUMBER('Lista de Preços'!$M23)))),"ERRO","OK"),"")</f>
        <v/>
      </c>
      <c r="E34" s="27" t="str">
        <f aca="false">IF(COUNTA('Lista de Preços'!$A23:$W23)&gt;0,IF(AND(ISNUMBER('Lista de Preços'!$L23),ISNUMBER('Lista de Preços'!$M23),'Lista de Preços'!$L23&gt;'Lista de Preços'!$M23),"ERRO","OK"),"")</f>
        <v/>
      </c>
      <c r="F34" s="27" t="str">
        <f aca="true">IF(COUNTA('Lista de Preços'!$A23:$W23)&gt;0,IF(AND('Lista de Preços'!$S23&lt;&gt;"",ISNUMBER('Lista de Preços'!$S23),'Lista de Preços'!$S23&lt;TODAY()),"ERRO","OK"),"")</f>
        <v/>
      </c>
      <c r="G34" s="27" t="str">
        <f aca="false">IF(COUNTA('Lista de Preços'!$A23:$W23)&gt;0,IF(AND('Lista de Preços'!$A23&lt;&gt;"",COUNTIF('Lista de Preços'!$A$4:$A$503,'Lista de Preços'!$A23)&gt;1),"ERRO","OK"),"")</f>
        <v/>
      </c>
      <c r="H34" s="27" t="str">
        <f aca="false">IF(COUNTA('Lista de Preços'!$A23:$W23)&gt;0,IF(AND('Lista de Preços'!$N23&lt;&gt;"",ISNUMBER('Lista de Preços'!$N23),OR('Lista de Preços'!$N23&lt;0,'Lista de Preços'!$N23&gt;0.5)),"ERRO","OK"),"")</f>
        <v/>
      </c>
      <c r="I34" s="27" t="str">
        <f aca="false">IF(COUNTA('Lista de Preços'!$A23:$W23)&gt;0,IF(OR($C34="ERRO",$D34="ERRO",$E34="ERRO",$F34="ERRO",$G34="ERRO",$H34="ERRO"),"FALHA","OK"),"")</f>
        <v/>
      </c>
    </row>
    <row r="35" customFormat="false" ht="15" hidden="false" customHeight="false" outlineLevel="0" collapsed="false">
      <c r="A35" s="26" t="n">
        <f aca="false">'Lista de Preços'!$A24</f>
        <v>0</v>
      </c>
      <c r="B35" s="26" t="n">
        <f aca="false">'Lista de Preços'!$B24</f>
        <v>0</v>
      </c>
      <c r="C35" s="27" t="str">
        <f aca="false">IF(COUNTA('Lista de Preços'!$A24:$W24)&gt;0,IF((COUNTBLANK('Lista de Preços'!$A24)+COUNTBLANK('Lista de Preços'!$B24)+COUNTBLANK('Lista de Preços'!$C24)+COUNTBLANK('Lista de Preços'!$D24)+COUNTBLANK('Lista de Preços'!$E24)+COUNTBLANK('Lista de Preços'!$F24)+COUNTBLANK('Lista de Preços'!$L24)+COUNTBLANK('Lista de Preços'!$M24)+COUNTBLANK('Lista de Preços'!$P24)+COUNTBLANK('Lista de Preços'!$U24)+COUNTBLANK('Lista de Preços'!$V24))&gt;0,"ERRO","OK"),"")</f>
        <v/>
      </c>
      <c r="D35" s="27" t="str">
        <f aca="false">IF(COUNTA('Lista de Preços'!$A24:$W24)&gt;0,IF(OR(AND('Lista de Preços'!$L24&lt;&gt;"",NOT(ISNUMBER('Lista de Preços'!$L24))),AND('Lista de Preços'!$M24&lt;&gt;"",NOT(ISNUMBER('Lista de Preços'!$M24)))),"ERRO","OK"),"")</f>
        <v/>
      </c>
      <c r="E35" s="27" t="str">
        <f aca="false">IF(COUNTA('Lista de Preços'!$A24:$W24)&gt;0,IF(AND(ISNUMBER('Lista de Preços'!$L24),ISNUMBER('Lista de Preços'!$M24),'Lista de Preços'!$L24&gt;'Lista de Preços'!$M24),"ERRO","OK"),"")</f>
        <v/>
      </c>
      <c r="F35" s="27" t="str">
        <f aca="true">IF(COUNTA('Lista de Preços'!$A24:$W24)&gt;0,IF(AND('Lista de Preços'!$S24&lt;&gt;"",ISNUMBER('Lista de Preços'!$S24),'Lista de Preços'!$S24&lt;TODAY()),"ERRO","OK"),"")</f>
        <v/>
      </c>
      <c r="G35" s="27" t="str">
        <f aca="false">IF(COUNTA('Lista de Preços'!$A24:$W24)&gt;0,IF(AND('Lista de Preços'!$A24&lt;&gt;"",COUNTIF('Lista de Preços'!$A$4:$A$503,'Lista de Preços'!$A24)&gt;1),"ERRO","OK"),"")</f>
        <v/>
      </c>
      <c r="H35" s="27" t="str">
        <f aca="false">IF(COUNTA('Lista de Preços'!$A24:$W24)&gt;0,IF(AND('Lista de Preços'!$N24&lt;&gt;"",ISNUMBER('Lista de Preços'!$N24),OR('Lista de Preços'!$N24&lt;0,'Lista de Preços'!$N24&gt;0.5)),"ERRO","OK"),"")</f>
        <v/>
      </c>
      <c r="I35" s="27" t="str">
        <f aca="false">IF(COUNTA('Lista de Preços'!$A24:$W24)&gt;0,IF(OR($C35="ERRO",$D35="ERRO",$E35="ERRO",$F35="ERRO",$G35="ERRO",$H35="ERRO"),"FALHA","OK"),"")</f>
        <v/>
      </c>
    </row>
    <row r="36" customFormat="false" ht="15" hidden="false" customHeight="false" outlineLevel="0" collapsed="false">
      <c r="A36" s="26" t="n">
        <f aca="false">'Lista de Preços'!$A25</f>
        <v>0</v>
      </c>
      <c r="B36" s="26" t="n">
        <f aca="false">'Lista de Preços'!$B25</f>
        <v>0</v>
      </c>
      <c r="C36" s="27" t="str">
        <f aca="false">IF(COUNTA('Lista de Preços'!$A25:$W25)&gt;0,IF((COUNTBLANK('Lista de Preços'!$A25)+COUNTBLANK('Lista de Preços'!$B25)+COUNTBLANK('Lista de Preços'!$C25)+COUNTBLANK('Lista de Preços'!$D25)+COUNTBLANK('Lista de Preços'!$E25)+COUNTBLANK('Lista de Preços'!$F25)+COUNTBLANK('Lista de Preços'!$L25)+COUNTBLANK('Lista de Preços'!$M25)+COUNTBLANK('Lista de Preços'!$P25)+COUNTBLANK('Lista de Preços'!$U25)+COUNTBLANK('Lista de Preços'!$V25))&gt;0,"ERRO","OK"),"")</f>
        <v/>
      </c>
      <c r="D36" s="27" t="str">
        <f aca="false">IF(COUNTA('Lista de Preços'!$A25:$W25)&gt;0,IF(OR(AND('Lista de Preços'!$L25&lt;&gt;"",NOT(ISNUMBER('Lista de Preços'!$L25))),AND('Lista de Preços'!$M25&lt;&gt;"",NOT(ISNUMBER('Lista de Preços'!$M25)))),"ERRO","OK"),"")</f>
        <v/>
      </c>
      <c r="E36" s="27" t="str">
        <f aca="false">IF(COUNTA('Lista de Preços'!$A25:$W25)&gt;0,IF(AND(ISNUMBER('Lista de Preços'!$L25),ISNUMBER('Lista de Preços'!$M25),'Lista de Preços'!$L25&gt;'Lista de Preços'!$M25),"ERRO","OK"),"")</f>
        <v/>
      </c>
      <c r="F36" s="27" t="str">
        <f aca="true">IF(COUNTA('Lista de Preços'!$A25:$W25)&gt;0,IF(AND('Lista de Preços'!$S25&lt;&gt;"",ISNUMBER('Lista de Preços'!$S25),'Lista de Preços'!$S25&lt;TODAY()),"ERRO","OK"),"")</f>
        <v/>
      </c>
      <c r="G36" s="27" t="str">
        <f aca="false">IF(COUNTA('Lista de Preços'!$A25:$W25)&gt;0,IF(AND('Lista de Preços'!$A25&lt;&gt;"",COUNTIF('Lista de Preços'!$A$4:$A$503,'Lista de Preços'!$A25)&gt;1),"ERRO","OK"),"")</f>
        <v/>
      </c>
      <c r="H36" s="27" t="str">
        <f aca="false">IF(COUNTA('Lista de Preços'!$A25:$W25)&gt;0,IF(AND('Lista de Preços'!$N25&lt;&gt;"",ISNUMBER('Lista de Preços'!$N25),OR('Lista de Preços'!$N25&lt;0,'Lista de Preços'!$N25&gt;0.5)),"ERRO","OK"),"")</f>
        <v/>
      </c>
      <c r="I36" s="27" t="str">
        <f aca="false">IF(COUNTA('Lista de Preços'!$A25:$W25)&gt;0,IF(OR($C36="ERRO",$D36="ERRO",$E36="ERRO",$F36="ERRO",$G36="ERRO",$H36="ERRO"),"FALHA","OK"),"")</f>
        <v/>
      </c>
    </row>
    <row r="37" customFormat="false" ht="15" hidden="false" customHeight="false" outlineLevel="0" collapsed="false">
      <c r="A37" s="26" t="n">
        <f aca="false">'Lista de Preços'!$A26</f>
        <v>0</v>
      </c>
      <c r="B37" s="26" t="n">
        <f aca="false">'Lista de Preços'!$B26</f>
        <v>0</v>
      </c>
      <c r="C37" s="27" t="str">
        <f aca="false">IF(COUNTA('Lista de Preços'!$A26:$W26)&gt;0,IF((COUNTBLANK('Lista de Preços'!$A26)+COUNTBLANK('Lista de Preços'!$B26)+COUNTBLANK('Lista de Preços'!$C26)+COUNTBLANK('Lista de Preços'!$D26)+COUNTBLANK('Lista de Preços'!$E26)+COUNTBLANK('Lista de Preços'!$F26)+COUNTBLANK('Lista de Preços'!$L26)+COUNTBLANK('Lista de Preços'!$M26)+COUNTBLANK('Lista de Preços'!$P26)+COUNTBLANK('Lista de Preços'!$U26)+COUNTBLANK('Lista de Preços'!$V26))&gt;0,"ERRO","OK"),"")</f>
        <v/>
      </c>
      <c r="D37" s="27" t="str">
        <f aca="false">IF(COUNTA('Lista de Preços'!$A26:$W26)&gt;0,IF(OR(AND('Lista de Preços'!$L26&lt;&gt;"",NOT(ISNUMBER('Lista de Preços'!$L26))),AND('Lista de Preços'!$M26&lt;&gt;"",NOT(ISNUMBER('Lista de Preços'!$M26)))),"ERRO","OK"),"")</f>
        <v/>
      </c>
      <c r="E37" s="27" t="str">
        <f aca="false">IF(COUNTA('Lista de Preços'!$A26:$W26)&gt;0,IF(AND(ISNUMBER('Lista de Preços'!$L26),ISNUMBER('Lista de Preços'!$M26),'Lista de Preços'!$L26&gt;'Lista de Preços'!$M26),"ERRO","OK"),"")</f>
        <v/>
      </c>
      <c r="F37" s="27" t="str">
        <f aca="true">IF(COUNTA('Lista de Preços'!$A26:$W26)&gt;0,IF(AND('Lista de Preços'!$S26&lt;&gt;"",ISNUMBER('Lista de Preços'!$S26),'Lista de Preços'!$S26&lt;TODAY()),"ERRO","OK"),"")</f>
        <v/>
      </c>
      <c r="G37" s="27" t="str">
        <f aca="false">IF(COUNTA('Lista de Preços'!$A26:$W26)&gt;0,IF(AND('Lista de Preços'!$A26&lt;&gt;"",COUNTIF('Lista de Preços'!$A$4:$A$503,'Lista de Preços'!$A26)&gt;1),"ERRO","OK"),"")</f>
        <v/>
      </c>
      <c r="H37" s="27" t="str">
        <f aca="false">IF(COUNTA('Lista de Preços'!$A26:$W26)&gt;0,IF(AND('Lista de Preços'!$N26&lt;&gt;"",ISNUMBER('Lista de Preços'!$N26),OR('Lista de Preços'!$N26&lt;0,'Lista de Preços'!$N26&gt;0.5)),"ERRO","OK"),"")</f>
        <v/>
      </c>
      <c r="I37" s="27" t="str">
        <f aca="false">IF(COUNTA('Lista de Preços'!$A26:$W26)&gt;0,IF(OR($C37="ERRO",$D37="ERRO",$E37="ERRO",$F37="ERRO",$G37="ERRO",$H37="ERRO"),"FALHA","OK"),"")</f>
        <v/>
      </c>
    </row>
    <row r="38" customFormat="false" ht="15" hidden="false" customHeight="false" outlineLevel="0" collapsed="false">
      <c r="A38" s="26" t="n">
        <f aca="false">'Lista de Preços'!$A27</f>
        <v>0</v>
      </c>
      <c r="B38" s="26" t="n">
        <f aca="false">'Lista de Preços'!$B27</f>
        <v>0</v>
      </c>
      <c r="C38" s="27" t="str">
        <f aca="false">IF(COUNTA('Lista de Preços'!$A27:$W27)&gt;0,IF((COUNTBLANK('Lista de Preços'!$A27)+COUNTBLANK('Lista de Preços'!$B27)+COUNTBLANK('Lista de Preços'!$C27)+COUNTBLANK('Lista de Preços'!$D27)+COUNTBLANK('Lista de Preços'!$E27)+COUNTBLANK('Lista de Preços'!$F27)+COUNTBLANK('Lista de Preços'!$L27)+COUNTBLANK('Lista de Preços'!$M27)+COUNTBLANK('Lista de Preços'!$P27)+COUNTBLANK('Lista de Preços'!$U27)+COUNTBLANK('Lista de Preços'!$V27))&gt;0,"ERRO","OK"),"")</f>
        <v/>
      </c>
      <c r="D38" s="27" t="str">
        <f aca="false">IF(COUNTA('Lista de Preços'!$A27:$W27)&gt;0,IF(OR(AND('Lista de Preços'!$L27&lt;&gt;"",NOT(ISNUMBER('Lista de Preços'!$L27))),AND('Lista de Preços'!$M27&lt;&gt;"",NOT(ISNUMBER('Lista de Preços'!$M27)))),"ERRO","OK"),"")</f>
        <v/>
      </c>
      <c r="E38" s="27" t="str">
        <f aca="false">IF(COUNTA('Lista de Preços'!$A27:$W27)&gt;0,IF(AND(ISNUMBER('Lista de Preços'!$L27),ISNUMBER('Lista de Preços'!$M27),'Lista de Preços'!$L27&gt;'Lista de Preços'!$M27),"ERRO","OK"),"")</f>
        <v/>
      </c>
      <c r="F38" s="27" t="str">
        <f aca="true">IF(COUNTA('Lista de Preços'!$A27:$W27)&gt;0,IF(AND('Lista de Preços'!$S27&lt;&gt;"",ISNUMBER('Lista de Preços'!$S27),'Lista de Preços'!$S27&lt;TODAY()),"ERRO","OK"),"")</f>
        <v/>
      </c>
      <c r="G38" s="27" t="str">
        <f aca="false">IF(COUNTA('Lista de Preços'!$A27:$W27)&gt;0,IF(AND('Lista de Preços'!$A27&lt;&gt;"",COUNTIF('Lista de Preços'!$A$4:$A$503,'Lista de Preços'!$A27)&gt;1),"ERRO","OK"),"")</f>
        <v/>
      </c>
      <c r="H38" s="27" t="str">
        <f aca="false">IF(COUNTA('Lista de Preços'!$A27:$W27)&gt;0,IF(AND('Lista de Preços'!$N27&lt;&gt;"",ISNUMBER('Lista de Preços'!$N27),OR('Lista de Preços'!$N27&lt;0,'Lista de Preços'!$N27&gt;0.5)),"ERRO","OK"),"")</f>
        <v/>
      </c>
      <c r="I38" s="27" t="str">
        <f aca="false">IF(COUNTA('Lista de Preços'!$A27:$W27)&gt;0,IF(OR($C38="ERRO",$D38="ERRO",$E38="ERRO",$F38="ERRO",$G38="ERRO",$H38="ERRO"),"FALHA","OK"),"")</f>
        <v/>
      </c>
    </row>
    <row r="39" customFormat="false" ht="15" hidden="false" customHeight="false" outlineLevel="0" collapsed="false">
      <c r="A39" s="26" t="n">
        <f aca="false">'Lista de Preços'!$A28</f>
        <v>0</v>
      </c>
      <c r="B39" s="26" t="n">
        <f aca="false">'Lista de Preços'!$B28</f>
        <v>0</v>
      </c>
      <c r="C39" s="27" t="str">
        <f aca="false">IF(COUNTA('Lista de Preços'!$A28:$W28)&gt;0,IF((COUNTBLANK('Lista de Preços'!$A28)+COUNTBLANK('Lista de Preços'!$B28)+COUNTBLANK('Lista de Preços'!$C28)+COUNTBLANK('Lista de Preços'!$D28)+COUNTBLANK('Lista de Preços'!$E28)+COUNTBLANK('Lista de Preços'!$F28)+COUNTBLANK('Lista de Preços'!$L28)+COUNTBLANK('Lista de Preços'!$M28)+COUNTBLANK('Lista de Preços'!$P28)+COUNTBLANK('Lista de Preços'!$U28)+COUNTBLANK('Lista de Preços'!$V28))&gt;0,"ERRO","OK"),"")</f>
        <v/>
      </c>
      <c r="D39" s="27" t="str">
        <f aca="false">IF(COUNTA('Lista de Preços'!$A28:$W28)&gt;0,IF(OR(AND('Lista de Preços'!$L28&lt;&gt;"",NOT(ISNUMBER('Lista de Preços'!$L28))),AND('Lista de Preços'!$M28&lt;&gt;"",NOT(ISNUMBER('Lista de Preços'!$M28)))),"ERRO","OK"),"")</f>
        <v/>
      </c>
      <c r="E39" s="27" t="str">
        <f aca="false">IF(COUNTA('Lista de Preços'!$A28:$W28)&gt;0,IF(AND(ISNUMBER('Lista de Preços'!$L28),ISNUMBER('Lista de Preços'!$M28),'Lista de Preços'!$L28&gt;'Lista de Preços'!$M28),"ERRO","OK"),"")</f>
        <v/>
      </c>
      <c r="F39" s="27" t="str">
        <f aca="true">IF(COUNTA('Lista de Preços'!$A28:$W28)&gt;0,IF(AND('Lista de Preços'!$S28&lt;&gt;"",ISNUMBER('Lista de Preços'!$S28),'Lista de Preços'!$S28&lt;TODAY()),"ERRO","OK"),"")</f>
        <v/>
      </c>
      <c r="G39" s="27" t="str">
        <f aca="false">IF(COUNTA('Lista de Preços'!$A28:$W28)&gt;0,IF(AND('Lista de Preços'!$A28&lt;&gt;"",COUNTIF('Lista de Preços'!$A$4:$A$503,'Lista de Preços'!$A28)&gt;1),"ERRO","OK"),"")</f>
        <v/>
      </c>
      <c r="H39" s="27" t="str">
        <f aca="false">IF(COUNTA('Lista de Preços'!$A28:$W28)&gt;0,IF(AND('Lista de Preços'!$N28&lt;&gt;"",ISNUMBER('Lista de Preços'!$N28),OR('Lista de Preços'!$N28&lt;0,'Lista de Preços'!$N28&gt;0.5)),"ERRO","OK"),"")</f>
        <v/>
      </c>
      <c r="I39" s="27" t="str">
        <f aca="false">IF(COUNTA('Lista de Preços'!$A28:$W28)&gt;0,IF(OR($C39="ERRO",$D39="ERRO",$E39="ERRO",$F39="ERRO",$G39="ERRO",$H39="ERRO"),"FALHA","OK"),"")</f>
        <v/>
      </c>
    </row>
    <row r="40" customFormat="false" ht="15" hidden="false" customHeight="false" outlineLevel="0" collapsed="false">
      <c r="A40" s="26" t="n">
        <f aca="false">'Lista de Preços'!$A29</f>
        <v>0</v>
      </c>
      <c r="B40" s="26" t="n">
        <f aca="false">'Lista de Preços'!$B29</f>
        <v>0</v>
      </c>
      <c r="C40" s="27" t="str">
        <f aca="false">IF(COUNTA('Lista de Preços'!$A29:$W29)&gt;0,IF((COUNTBLANK('Lista de Preços'!$A29)+COUNTBLANK('Lista de Preços'!$B29)+COUNTBLANK('Lista de Preços'!$C29)+COUNTBLANK('Lista de Preços'!$D29)+COUNTBLANK('Lista de Preços'!$E29)+COUNTBLANK('Lista de Preços'!$F29)+COUNTBLANK('Lista de Preços'!$L29)+COUNTBLANK('Lista de Preços'!$M29)+COUNTBLANK('Lista de Preços'!$P29)+COUNTBLANK('Lista de Preços'!$U29)+COUNTBLANK('Lista de Preços'!$V29))&gt;0,"ERRO","OK"),"")</f>
        <v/>
      </c>
      <c r="D40" s="27" t="str">
        <f aca="false">IF(COUNTA('Lista de Preços'!$A29:$W29)&gt;0,IF(OR(AND('Lista de Preços'!$L29&lt;&gt;"",NOT(ISNUMBER('Lista de Preços'!$L29))),AND('Lista de Preços'!$M29&lt;&gt;"",NOT(ISNUMBER('Lista de Preços'!$M29)))),"ERRO","OK"),"")</f>
        <v/>
      </c>
      <c r="E40" s="27" t="str">
        <f aca="false">IF(COUNTA('Lista de Preços'!$A29:$W29)&gt;0,IF(AND(ISNUMBER('Lista de Preços'!$L29),ISNUMBER('Lista de Preços'!$M29),'Lista de Preços'!$L29&gt;'Lista de Preços'!$M29),"ERRO","OK"),"")</f>
        <v/>
      </c>
      <c r="F40" s="27" t="str">
        <f aca="true">IF(COUNTA('Lista de Preços'!$A29:$W29)&gt;0,IF(AND('Lista de Preços'!$S29&lt;&gt;"",ISNUMBER('Lista de Preços'!$S29),'Lista de Preços'!$S29&lt;TODAY()),"ERRO","OK"),"")</f>
        <v/>
      </c>
      <c r="G40" s="27" t="str">
        <f aca="false">IF(COUNTA('Lista de Preços'!$A29:$W29)&gt;0,IF(AND('Lista de Preços'!$A29&lt;&gt;"",COUNTIF('Lista de Preços'!$A$4:$A$503,'Lista de Preços'!$A29)&gt;1),"ERRO","OK"),"")</f>
        <v/>
      </c>
      <c r="H40" s="27" t="str">
        <f aca="false">IF(COUNTA('Lista de Preços'!$A29:$W29)&gt;0,IF(AND('Lista de Preços'!$N29&lt;&gt;"",ISNUMBER('Lista de Preços'!$N29),OR('Lista de Preços'!$N29&lt;0,'Lista de Preços'!$N29&gt;0.5)),"ERRO","OK"),"")</f>
        <v/>
      </c>
      <c r="I40" s="27" t="str">
        <f aca="false">IF(COUNTA('Lista de Preços'!$A29:$W29)&gt;0,IF(OR($C40="ERRO",$D40="ERRO",$E40="ERRO",$F40="ERRO",$G40="ERRO",$H40="ERRO"),"FALHA","OK"),"")</f>
        <v/>
      </c>
    </row>
    <row r="41" customFormat="false" ht="15" hidden="false" customHeight="false" outlineLevel="0" collapsed="false">
      <c r="A41" s="26" t="n">
        <f aca="false">'Lista de Preços'!$A30</f>
        <v>0</v>
      </c>
      <c r="B41" s="26" t="n">
        <f aca="false">'Lista de Preços'!$B30</f>
        <v>0</v>
      </c>
      <c r="C41" s="27" t="str">
        <f aca="false">IF(COUNTA('Lista de Preços'!$A30:$W30)&gt;0,IF((COUNTBLANK('Lista de Preços'!$A30)+COUNTBLANK('Lista de Preços'!$B30)+COUNTBLANK('Lista de Preços'!$C30)+COUNTBLANK('Lista de Preços'!$D30)+COUNTBLANK('Lista de Preços'!$E30)+COUNTBLANK('Lista de Preços'!$F30)+COUNTBLANK('Lista de Preços'!$L30)+COUNTBLANK('Lista de Preços'!$M30)+COUNTBLANK('Lista de Preços'!$P30)+COUNTBLANK('Lista de Preços'!$U30)+COUNTBLANK('Lista de Preços'!$V30))&gt;0,"ERRO","OK"),"")</f>
        <v/>
      </c>
      <c r="D41" s="27" t="str">
        <f aca="false">IF(COUNTA('Lista de Preços'!$A30:$W30)&gt;0,IF(OR(AND('Lista de Preços'!$L30&lt;&gt;"",NOT(ISNUMBER('Lista de Preços'!$L30))),AND('Lista de Preços'!$M30&lt;&gt;"",NOT(ISNUMBER('Lista de Preços'!$M30)))),"ERRO","OK"),"")</f>
        <v/>
      </c>
      <c r="E41" s="27" t="str">
        <f aca="false">IF(COUNTA('Lista de Preços'!$A30:$W30)&gt;0,IF(AND(ISNUMBER('Lista de Preços'!$L30),ISNUMBER('Lista de Preços'!$M30),'Lista de Preços'!$L30&gt;'Lista de Preços'!$M30),"ERRO","OK"),"")</f>
        <v/>
      </c>
      <c r="F41" s="27" t="str">
        <f aca="true">IF(COUNTA('Lista de Preços'!$A30:$W30)&gt;0,IF(AND('Lista de Preços'!$S30&lt;&gt;"",ISNUMBER('Lista de Preços'!$S30),'Lista de Preços'!$S30&lt;TODAY()),"ERRO","OK"),"")</f>
        <v/>
      </c>
      <c r="G41" s="27" t="str">
        <f aca="false">IF(COUNTA('Lista de Preços'!$A30:$W30)&gt;0,IF(AND('Lista de Preços'!$A30&lt;&gt;"",COUNTIF('Lista de Preços'!$A$4:$A$503,'Lista de Preços'!$A30)&gt;1),"ERRO","OK"),"")</f>
        <v/>
      </c>
      <c r="H41" s="27" t="str">
        <f aca="false">IF(COUNTA('Lista de Preços'!$A30:$W30)&gt;0,IF(AND('Lista de Preços'!$N30&lt;&gt;"",ISNUMBER('Lista de Preços'!$N30),OR('Lista de Preços'!$N30&lt;0,'Lista de Preços'!$N30&gt;0.5)),"ERRO","OK"),"")</f>
        <v/>
      </c>
      <c r="I41" s="27" t="str">
        <f aca="false">IF(COUNTA('Lista de Preços'!$A30:$W30)&gt;0,IF(OR($C41="ERRO",$D41="ERRO",$E41="ERRO",$F41="ERRO",$G41="ERRO",$H41="ERRO"),"FALHA","OK"),"")</f>
        <v/>
      </c>
    </row>
    <row r="42" customFormat="false" ht="15" hidden="false" customHeight="false" outlineLevel="0" collapsed="false">
      <c r="A42" s="26" t="n">
        <f aca="false">'Lista de Preços'!$A31</f>
        <v>0</v>
      </c>
      <c r="B42" s="26" t="n">
        <f aca="false">'Lista de Preços'!$B31</f>
        <v>0</v>
      </c>
      <c r="C42" s="27" t="str">
        <f aca="false">IF(COUNTA('Lista de Preços'!$A31:$W31)&gt;0,IF((COUNTBLANK('Lista de Preços'!$A31)+COUNTBLANK('Lista de Preços'!$B31)+COUNTBLANK('Lista de Preços'!$C31)+COUNTBLANK('Lista de Preços'!$D31)+COUNTBLANK('Lista de Preços'!$E31)+COUNTBLANK('Lista de Preços'!$F31)+COUNTBLANK('Lista de Preços'!$L31)+COUNTBLANK('Lista de Preços'!$M31)+COUNTBLANK('Lista de Preços'!$P31)+COUNTBLANK('Lista de Preços'!$U31)+COUNTBLANK('Lista de Preços'!$V31))&gt;0,"ERRO","OK"),"")</f>
        <v/>
      </c>
      <c r="D42" s="27" t="str">
        <f aca="false">IF(COUNTA('Lista de Preços'!$A31:$W31)&gt;0,IF(OR(AND('Lista de Preços'!$L31&lt;&gt;"",NOT(ISNUMBER('Lista de Preços'!$L31))),AND('Lista de Preços'!$M31&lt;&gt;"",NOT(ISNUMBER('Lista de Preços'!$M31)))),"ERRO","OK"),"")</f>
        <v/>
      </c>
      <c r="E42" s="27" t="str">
        <f aca="false">IF(COUNTA('Lista de Preços'!$A31:$W31)&gt;0,IF(AND(ISNUMBER('Lista de Preços'!$L31),ISNUMBER('Lista de Preços'!$M31),'Lista de Preços'!$L31&gt;'Lista de Preços'!$M31),"ERRO","OK"),"")</f>
        <v/>
      </c>
      <c r="F42" s="27" t="str">
        <f aca="true">IF(COUNTA('Lista de Preços'!$A31:$W31)&gt;0,IF(AND('Lista de Preços'!$S31&lt;&gt;"",ISNUMBER('Lista de Preços'!$S31),'Lista de Preços'!$S31&lt;TODAY()),"ERRO","OK"),"")</f>
        <v/>
      </c>
      <c r="G42" s="27" t="str">
        <f aca="false">IF(COUNTA('Lista de Preços'!$A31:$W31)&gt;0,IF(AND('Lista de Preços'!$A31&lt;&gt;"",COUNTIF('Lista de Preços'!$A$4:$A$503,'Lista de Preços'!$A31)&gt;1),"ERRO","OK"),"")</f>
        <v/>
      </c>
      <c r="H42" s="27" t="str">
        <f aca="false">IF(COUNTA('Lista de Preços'!$A31:$W31)&gt;0,IF(AND('Lista de Preços'!$N31&lt;&gt;"",ISNUMBER('Lista de Preços'!$N31),OR('Lista de Preços'!$N31&lt;0,'Lista de Preços'!$N31&gt;0.5)),"ERRO","OK"),"")</f>
        <v/>
      </c>
      <c r="I42" s="27" t="str">
        <f aca="false">IF(COUNTA('Lista de Preços'!$A31:$W31)&gt;0,IF(OR($C42="ERRO",$D42="ERRO",$E42="ERRO",$F42="ERRO",$G42="ERRO",$H42="ERRO"),"FALHA","OK"),"")</f>
        <v/>
      </c>
    </row>
    <row r="43" customFormat="false" ht="15" hidden="false" customHeight="false" outlineLevel="0" collapsed="false">
      <c r="A43" s="26" t="n">
        <f aca="false">'Lista de Preços'!$A32</f>
        <v>0</v>
      </c>
      <c r="B43" s="26" t="n">
        <f aca="false">'Lista de Preços'!$B32</f>
        <v>0</v>
      </c>
      <c r="C43" s="27" t="str">
        <f aca="false">IF(COUNTA('Lista de Preços'!$A32:$W32)&gt;0,IF((COUNTBLANK('Lista de Preços'!$A32)+COUNTBLANK('Lista de Preços'!$B32)+COUNTBLANK('Lista de Preços'!$C32)+COUNTBLANK('Lista de Preços'!$D32)+COUNTBLANK('Lista de Preços'!$E32)+COUNTBLANK('Lista de Preços'!$F32)+COUNTBLANK('Lista de Preços'!$L32)+COUNTBLANK('Lista de Preços'!$M32)+COUNTBLANK('Lista de Preços'!$P32)+COUNTBLANK('Lista de Preços'!$U32)+COUNTBLANK('Lista de Preços'!$V32))&gt;0,"ERRO","OK"),"")</f>
        <v/>
      </c>
      <c r="D43" s="27" t="str">
        <f aca="false">IF(COUNTA('Lista de Preços'!$A32:$W32)&gt;0,IF(OR(AND('Lista de Preços'!$L32&lt;&gt;"",NOT(ISNUMBER('Lista de Preços'!$L32))),AND('Lista de Preços'!$M32&lt;&gt;"",NOT(ISNUMBER('Lista de Preços'!$M32)))),"ERRO","OK"),"")</f>
        <v/>
      </c>
      <c r="E43" s="27" t="str">
        <f aca="false">IF(COUNTA('Lista de Preços'!$A32:$W32)&gt;0,IF(AND(ISNUMBER('Lista de Preços'!$L32),ISNUMBER('Lista de Preços'!$M32),'Lista de Preços'!$L32&gt;'Lista de Preços'!$M32),"ERRO","OK"),"")</f>
        <v/>
      </c>
      <c r="F43" s="27" t="str">
        <f aca="true">IF(COUNTA('Lista de Preços'!$A32:$W32)&gt;0,IF(AND('Lista de Preços'!$S32&lt;&gt;"",ISNUMBER('Lista de Preços'!$S32),'Lista de Preços'!$S32&lt;TODAY()),"ERRO","OK"),"")</f>
        <v/>
      </c>
      <c r="G43" s="27" t="str">
        <f aca="false">IF(COUNTA('Lista de Preços'!$A32:$W32)&gt;0,IF(AND('Lista de Preços'!$A32&lt;&gt;"",COUNTIF('Lista de Preços'!$A$4:$A$503,'Lista de Preços'!$A32)&gt;1),"ERRO","OK"),"")</f>
        <v/>
      </c>
      <c r="H43" s="27" t="str">
        <f aca="false">IF(COUNTA('Lista de Preços'!$A32:$W32)&gt;0,IF(AND('Lista de Preços'!$N32&lt;&gt;"",ISNUMBER('Lista de Preços'!$N32),OR('Lista de Preços'!$N32&lt;0,'Lista de Preços'!$N32&gt;0.5)),"ERRO","OK"),"")</f>
        <v/>
      </c>
      <c r="I43" s="27" t="str">
        <f aca="false">IF(COUNTA('Lista de Preços'!$A32:$W32)&gt;0,IF(OR($C43="ERRO",$D43="ERRO",$E43="ERRO",$F43="ERRO",$G43="ERRO",$H43="ERRO"),"FALHA","OK"),"")</f>
        <v/>
      </c>
    </row>
    <row r="44" customFormat="false" ht="15" hidden="false" customHeight="false" outlineLevel="0" collapsed="false">
      <c r="A44" s="26" t="n">
        <f aca="false">'Lista de Preços'!$A33</f>
        <v>0</v>
      </c>
      <c r="B44" s="26" t="n">
        <f aca="false">'Lista de Preços'!$B33</f>
        <v>0</v>
      </c>
      <c r="C44" s="27" t="str">
        <f aca="false">IF(COUNTA('Lista de Preços'!$A33:$W33)&gt;0,IF((COUNTBLANK('Lista de Preços'!$A33)+COUNTBLANK('Lista de Preços'!$B33)+COUNTBLANK('Lista de Preços'!$C33)+COUNTBLANK('Lista de Preços'!$D33)+COUNTBLANK('Lista de Preços'!$E33)+COUNTBLANK('Lista de Preços'!$F33)+COUNTBLANK('Lista de Preços'!$L33)+COUNTBLANK('Lista de Preços'!$M33)+COUNTBLANK('Lista de Preços'!$P33)+COUNTBLANK('Lista de Preços'!$U33)+COUNTBLANK('Lista de Preços'!$V33))&gt;0,"ERRO","OK"),"")</f>
        <v/>
      </c>
      <c r="D44" s="27" t="str">
        <f aca="false">IF(COUNTA('Lista de Preços'!$A33:$W33)&gt;0,IF(OR(AND('Lista de Preços'!$L33&lt;&gt;"",NOT(ISNUMBER('Lista de Preços'!$L33))),AND('Lista de Preços'!$M33&lt;&gt;"",NOT(ISNUMBER('Lista de Preços'!$M33)))),"ERRO","OK"),"")</f>
        <v/>
      </c>
      <c r="E44" s="27" t="str">
        <f aca="false">IF(COUNTA('Lista de Preços'!$A33:$W33)&gt;0,IF(AND(ISNUMBER('Lista de Preços'!$L33),ISNUMBER('Lista de Preços'!$M33),'Lista de Preços'!$L33&gt;'Lista de Preços'!$M33),"ERRO","OK"),"")</f>
        <v/>
      </c>
      <c r="F44" s="27" t="str">
        <f aca="true">IF(COUNTA('Lista de Preços'!$A33:$W33)&gt;0,IF(AND('Lista de Preços'!$S33&lt;&gt;"",ISNUMBER('Lista de Preços'!$S33),'Lista de Preços'!$S33&lt;TODAY()),"ERRO","OK"),"")</f>
        <v/>
      </c>
      <c r="G44" s="27" t="str">
        <f aca="false">IF(COUNTA('Lista de Preços'!$A33:$W33)&gt;0,IF(AND('Lista de Preços'!$A33&lt;&gt;"",COUNTIF('Lista de Preços'!$A$4:$A$503,'Lista de Preços'!$A33)&gt;1),"ERRO","OK"),"")</f>
        <v/>
      </c>
      <c r="H44" s="27" t="str">
        <f aca="false">IF(COUNTA('Lista de Preços'!$A33:$W33)&gt;0,IF(AND('Lista de Preços'!$N33&lt;&gt;"",ISNUMBER('Lista de Preços'!$N33),OR('Lista de Preços'!$N33&lt;0,'Lista de Preços'!$N33&gt;0.5)),"ERRO","OK"),"")</f>
        <v/>
      </c>
      <c r="I44" s="27" t="str">
        <f aca="false">IF(COUNTA('Lista de Preços'!$A33:$W33)&gt;0,IF(OR($C44="ERRO",$D44="ERRO",$E44="ERRO",$F44="ERRO",$G44="ERRO",$H44="ERRO"),"FALHA","OK"),"")</f>
        <v/>
      </c>
    </row>
    <row r="45" customFormat="false" ht="15" hidden="false" customHeight="false" outlineLevel="0" collapsed="false">
      <c r="A45" s="26" t="n">
        <f aca="false">'Lista de Preços'!$A34</f>
        <v>0</v>
      </c>
      <c r="B45" s="26" t="n">
        <f aca="false">'Lista de Preços'!$B34</f>
        <v>0</v>
      </c>
      <c r="C45" s="27" t="str">
        <f aca="false">IF(COUNTA('Lista de Preços'!$A34:$W34)&gt;0,IF((COUNTBLANK('Lista de Preços'!$A34)+COUNTBLANK('Lista de Preços'!$B34)+COUNTBLANK('Lista de Preços'!$C34)+COUNTBLANK('Lista de Preços'!$D34)+COUNTBLANK('Lista de Preços'!$E34)+COUNTBLANK('Lista de Preços'!$F34)+COUNTBLANK('Lista de Preços'!$L34)+COUNTBLANK('Lista de Preços'!$M34)+COUNTBLANK('Lista de Preços'!$P34)+COUNTBLANK('Lista de Preços'!$U34)+COUNTBLANK('Lista de Preços'!$V34))&gt;0,"ERRO","OK"),"")</f>
        <v/>
      </c>
      <c r="D45" s="27" t="str">
        <f aca="false">IF(COUNTA('Lista de Preços'!$A34:$W34)&gt;0,IF(OR(AND('Lista de Preços'!$L34&lt;&gt;"",NOT(ISNUMBER('Lista de Preços'!$L34))),AND('Lista de Preços'!$M34&lt;&gt;"",NOT(ISNUMBER('Lista de Preços'!$M34)))),"ERRO","OK"),"")</f>
        <v/>
      </c>
      <c r="E45" s="27" t="str">
        <f aca="false">IF(COUNTA('Lista de Preços'!$A34:$W34)&gt;0,IF(AND(ISNUMBER('Lista de Preços'!$L34),ISNUMBER('Lista de Preços'!$M34),'Lista de Preços'!$L34&gt;'Lista de Preços'!$M34),"ERRO","OK"),"")</f>
        <v/>
      </c>
      <c r="F45" s="27" t="str">
        <f aca="true">IF(COUNTA('Lista de Preços'!$A34:$W34)&gt;0,IF(AND('Lista de Preços'!$S34&lt;&gt;"",ISNUMBER('Lista de Preços'!$S34),'Lista de Preços'!$S34&lt;TODAY()),"ERRO","OK"),"")</f>
        <v/>
      </c>
      <c r="G45" s="27" t="str">
        <f aca="false">IF(COUNTA('Lista de Preços'!$A34:$W34)&gt;0,IF(AND('Lista de Preços'!$A34&lt;&gt;"",COUNTIF('Lista de Preços'!$A$4:$A$503,'Lista de Preços'!$A34)&gt;1),"ERRO","OK"),"")</f>
        <v/>
      </c>
      <c r="H45" s="27" t="str">
        <f aca="false">IF(COUNTA('Lista de Preços'!$A34:$W34)&gt;0,IF(AND('Lista de Preços'!$N34&lt;&gt;"",ISNUMBER('Lista de Preços'!$N34),OR('Lista de Preços'!$N34&lt;0,'Lista de Preços'!$N34&gt;0.5)),"ERRO","OK"),"")</f>
        <v/>
      </c>
      <c r="I45" s="27" t="str">
        <f aca="false">IF(COUNTA('Lista de Preços'!$A34:$W34)&gt;0,IF(OR($C45="ERRO",$D45="ERRO",$E45="ERRO",$F45="ERRO",$G45="ERRO",$H45="ERRO"),"FALHA","OK"),"")</f>
        <v/>
      </c>
    </row>
    <row r="46" customFormat="false" ht="15" hidden="false" customHeight="false" outlineLevel="0" collapsed="false">
      <c r="A46" s="26" t="n">
        <f aca="false">'Lista de Preços'!$A35</f>
        <v>0</v>
      </c>
      <c r="B46" s="26" t="n">
        <f aca="false">'Lista de Preços'!$B35</f>
        <v>0</v>
      </c>
      <c r="C46" s="27" t="str">
        <f aca="false">IF(COUNTA('Lista de Preços'!$A35:$W35)&gt;0,IF((COUNTBLANK('Lista de Preços'!$A35)+COUNTBLANK('Lista de Preços'!$B35)+COUNTBLANK('Lista de Preços'!$C35)+COUNTBLANK('Lista de Preços'!$D35)+COUNTBLANK('Lista de Preços'!$E35)+COUNTBLANK('Lista de Preços'!$F35)+COUNTBLANK('Lista de Preços'!$L35)+COUNTBLANK('Lista de Preços'!$M35)+COUNTBLANK('Lista de Preços'!$P35)+COUNTBLANK('Lista de Preços'!$U35)+COUNTBLANK('Lista de Preços'!$V35))&gt;0,"ERRO","OK"),"")</f>
        <v/>
      </c>
      <c r="D46" s="27" t="str">
        <f aca="false">IF(COUNTA('Lista de Preços'!$A35:$W35)&gt;0,IF(OR(AND('Lista de Preços'!$L35&lt;&gt;"",NOT(ISNUMBER('Lista de Preços'!$L35))),AND('Lista de Preços'!$M35&lt;&gt;"",NOT(ISNUMBER('Lista de Preços'!$M35)))),"ERRO","OK"),"")</f>
        <v/>
      </c>
      <c r="E46" s="27" t="str">
        <f aca="false">IF(COUNTA('Lista de Preços'!$A35:$W35)&gt;0,IF(AND(ISNUMBER('Lista de Preços'!$L35),ISNUMBER('Lista de Preços'!$M35),'Lista de Preços'!$L35&gt;'Lista de Preços'!$M35),"ERRO","OK"),"")</f>
        <v/>
      </c>
      <c r="F46" s="27" t="str">
        <f aca="true">IF(COUNTA('Lista de Preços'!$A35:$W35)&gt;0,IF(AND('Lista de Preços'!$S35&lt;&gt;"",ISNUMBER('Lista de Preços'!$S35),'Lista de Preços'!$S35&lt;TODAY()),"ERRO","OK"),"")</f>
        <v/>
      </c>
      <c r="G46" s="27" t="str">
        <f aca="false">IF(COUNTA('Lista de Preços'!$A35:$W35)&gt;0,IF(AND('Lista de Preços'!$A35&lt;&gt;"",COUNTIF('Lista de Preços'!$A$4:$A$503,'Lista de Preços'!$A35)&gt;1),"ERRO","OK"),"")</f>
        <v/>
      </c>
      <c r="H46" s="27" t="str">
        <f aca="false">IF(COUNTA('Lista de Preços'!$A35:$W35)&gt;0,IF(AND('Lista de Preços'!$N35&lt;&gt;"",ISNUMBER('Lista de Preços'!$N35),OR('Lista de Preços'!$N35&lt;0,'Lista de Preços'!$N35&gt;0.5)),"ERRO","OK"),"")</f>
        <v/>
      </c>
      <c r="I46" s="27" t="str">
        <f aca="false">IF(COUNTA('Lista de Preços'!$A35:$W35)&gt;0,IF(OR($C46="ERRO",$D46="ERRO",$E46="ERRO",$F46="ERRO",$G46="ERRO",$H46="ERRO"),"FALHA","OK"),"")</f>
        <v/>
      </c>
    </row>
    <row r="47" customFormat="false" ht="15" hidden="false" customHeight="false" outlineLevel="0" collapsed="false">
      <c r="A47" s="26" t="n">
        <f aca="false">'Lista de Preços'!$A36</f>
        <v>0</v>
      </c>
      <c r="B47" s="26" t="n">
        <f aca="false">'Lista de Preços'!$B36</f>
        <v>0</v>
      </c>
      <c r="C47" s="27" t="str">
        <f aca="false">IF(COUNTA('Lista de Preços'!$A36:$W36)&gt;0,IF((COUNTBLANK('Lista de Preços'!$A36)+COUNTBLANK('Lista de Preços'!$B36)+COUNTBLANK('Lista de Preços'!$C36)+COUNTBLANK('Lista de Preços'!$D36)+COUNTBLANK('Lista de Preços'!$E36)+COUNTBLANK('Lista de Preços'!$F36)+COUNTBLANK('Lista de Preços'!$L36)+COUNTBLANK('Lista de Preços'!$M36)+COUNTBLANK('Lista de Preços'!$P36)+COUNTBLANK('Lista de Preços'!$U36)+COUNTBLANK('Lista de Preços'!$V36))&gt;0,"ERRO","OK"),"")</f>
        <v/>
      </c>
      <c r="D47" s="27" t="str">
        <f aca="false">IF(COUNTA('Lista de Preços'!$A36:$W36)&gt;0,IF(OR(AND('Lista de Preços'!$L36&lt;&gt;"",NOT(ISNUMBER('Lista de Preços'!$L36))),AND('Lista de Preços'!$M36&lt;&gt;"",NOT(ISNUMBER('Lista de Preços'!$M36)))),"ERRO","OK"),"")</f>
        <v/>
      </c>
      <c r="E47" s="27" t="str">
        <f aca="false">IF(COUNTA('Lista de Preços'!$A36:$W36)&gt;0,IF(AND(ISNUMBER('Lista de Preços'!$L36),ISNUMBER('Lista de Preços'!$M36),'Lista de Preços'!$L36&gt;'Lista de Preços'!$M36),"ERRO","OK"),"")</f>
        <v/>
      </c>
      <c r="F47" s="27" t="str">
        <f aca="true">IF(COUNTA('Lista de Preços'!$A36:$W36)&gt;0,IF(AND('Lista de Preços'!$S36&lt;&gt;"",ISNUMBER('Lista de Preços'!$S36),'Lista de Preços'!$S36&lt;TODAY()),"ERRO","OK"),"")</f>
        <v/>
      </c>
      <c r="G47" s="27" t="str">
        <f aca="false">IF(COUNTA('Lista de Preços'!$A36:$W36)&gt;0,IF(AND('Lista de Preços'!$A36&lt;&gt;"",COUNTIF('Lista de Preços'!$A$4:$A$503,'Lista de Preços'!$A36)&gt;1),"ERRO","OK"),"")</f>
        <v/>
      </c>
      <c r="H47" s="27" t="str">
        <f aca="false">IF(COUNTA('Lista de Preços'!$A36:$W36)&gt;0,IF(AND('Lista de Preços'!$N36&lt;&gt;"",ISNUMBER('Lista de Preços'!$N36),OR('Lista de Preços'!$N36&lt;0,'Lista de Preços'!$N36&gt;0.5)),"ERRO","OK"),"")</f>
        <v/>
      </c>
      <c r="I47" s="27" t="str">
        <f aca="false">IF(COUNTA('Lista de Preços'!$A36:$W36)&gt;0,IF(OR($C47="ERRO",$D47="ERRO",$E47="ERRO",$F47="ERRO",$G47="ERRO",$H47="ERRO"),"FALHA","OK"),"")</f>
        <v/>
      </c>
    </row>
    <row r="48" customFormat="false" ht="15" hidden="false" customHeight="false" outlineLevel="0" collapsed="false">
      <c r="A48" s="26" t="n">
        <f aca="false">'Lista de Preços'!$A37</f>
        <v>0</v>
      </c>
      <c r="B48" s="26" t="n">
        <f aca="false">'Lista de Preços'!$B37</f>
        <v>0</v>
      </c>
      <c r="C48" s="27" t="str">
        <f aca="false">IF(COUNTA('Lista de Preços'!$A37:$W37)&gt;0,IF((COUNTBLANK('Lista de Preços'!$A37)+COUNTBLANK('Lista de Preços'!$B37)+COUNTBLANK('Lista de Preços'!$C37)+COUNTBLANK('Lista de Preços'!$D37)+COUNTBLANK('Lista de Preços'!$E37)+COUNTBLANK('Lista de Preços'!$F37)+COUNTBLANK('Lista de Preços'!$L37)+COUNTBLANK('Lista de Preços'!$M37)+COUNTBLANK('Lista de Preços'!$P37)+COUNTBLANK('Lista de Preços'!$U37)+COUNTBLANK('Lista de Preços'!$V37))&gt;0,"ERRO","OK"),"")</f>
        <v/>
      </c>
      <c r="D48" s="27" t="str">
        <f aca="false">IF(COUNTA('Lista de Preços'!$A37:$W37)&gt;0,IF(OR(AND('Lista de Preços'!$L37&lt;&gt;"",NOT(ISNUMBER('Lista de Preços'!$L37))),AND('Lista de Preços'!$M37&lt;&gt;"",NOT(ISNUMBER('Lista de Preços'!$M37)))),"ERRO","OK"),"")</f>
        <v/>
      </c>
      <c r="E48" s="27" t="str">
        <f aca="false">IF(COUNTA('Lista de Preços'!$A37:$W37)&gt;0,IF(AND(ISNUMBER('Lista de Preços'!$L37),ISNUMBER('Lista de Preços'!$M37),'Lista de Preços'!$L37&gt;'Lista de Preços'!$M37),"ERRO","OK"),"")</f>
        <v/>
      </c>
      <c r="F48" s="27" t="str">
        <f aca="true">IF(COUNTA('Lista de Preços'!$A37:$W37)&gt;0,IF(AND('Lista de Preços'!$S37&lt;&gt;"",ISNUMBER('Lista de Preços'!$S37),'Lista de Preços'!$S37&lt;TODAY()),"ERRO","OK"),"")</f>
        <v/>
      </c>
      <c r="G48" s="27" t="str">
        <f aca="false">IF(COUNTA('Lista de Preços'!$A37:$W37)&gt;0,IF(AND('Lista de Preços'!$A37&lt;&gt;"",COUNTIF('Lista de Preços'!$A$4:$A$503,'Lista de Preços'!$A37)&gt;1),"ERRO","OK"),"")</f>
        <v/>
      </c>
      <c r="H48" s="27" t="str">
        <f aca="false">IF(COUNTA('Lista de Preços'!$A37:$W37)&gt;0,IF(AND('Lista de Preços'!$N37&lt;&gt;"",ISNUMBER('Lista de Preços'!$N37),OR('Lista de Preços'!$N37&lt;0,'Lista de Preços'!$N37&gt;0.5)),"ERRO","OK"),"")</f>
        <v/>
      </c>
      <c r="I48" s="27" t="str">
        <f aca="false">IF(COUNTA('Lista de Preços'!$A37:$W37)&gt;0,IF(OR($C48="ERRO",$D48="ERRO",$E48="ERRO",$F48="ERRO",$G48="ERRO",$H48="ERRO"),"FALHA","OK"),"")</f>
        <v/>
      </c>
    </row>
    <row r="49" customFormat="false" ht="15" hidden="false" customHeight="false" outlineLevel="0" collapsed="false">
      <c r="A49" s="26" t="n">
        <f aca="false">'Lista de Preços'!$A38</f>
        <v>0</v>
      </c>
      <c r="B49" s="26" t="n">
        <f aca="false">'Lista de Preços'!$B38</f>
        <v>0</v>
      </c>
      <c r="C49" s="27" t="str">
        <f aca="false">IF(COUNTA('Lista de Preços'!$A38:$W38)&gt;0,IF((COUNTBLANK('Lista de Preços'!$A38)+COUNTBLANK('Lista de Preços'!$B38)+COUNTBLANK('Lista de Preços'!$C38)+COUNTBLANK('Lista de Preços'!$D38)+COUNTBLANK('Lista de Preços'!$E38)+COUNTBLANK('Lista de Preços'!$F38)+COUNTBLANK('Lista de Preços'!$L38)+COUNTBLANK('Lista de Preços'!$M38)+COUNTBLANK('Lista de Preços'!$P38)+COUNTBLANK('Lista de Preços'!$U38)+COUNTBLANK('Lista de Preços'!$V38))&gt;0,"ERRO","OK"),"")</f>
        <v/>
      </c>
      <c r="D49" s="27" t="str">
        <f aca="false">IF(COUNTA('Lista de Preços'!$A38:$W38)&gt;0,IF(OR(AND('Lista de Preços'!$L38&lt;&gt;"",NOT(ISNUMBER('Lista de Preços'!$L38))),AND('Lista de Preços'!$M38&lt;&gt;"",NOT(ISNUMBER('Lista de Preços'!$M38)))),"ERRO","OK"),"")</f>
        <v/>
      </c>
      <c r="E49" s="27" t="str">
        <f aca="false">IF(COUNTA('Lista de Preços'!$A38:$W38)&gt;0,IF(AND(ISNUMBER('Lista de Preços'!$L38),ISNUMBER('Lista de Preços'!$M38),'Lista de Preços'!$L38&gt;'Lista de Preços'!$M38),"ERRO","OK"),"")</f>
        <v/>
      </c>
      <c r="F49" s="27" t="str">
        <f aca="true">IF(COUNTA('Lista de Preços'!$A38:$W38)&gt;0,IF(AND('Lista de Preços'!$S38&lt;&gt;"",ISNUMBER('Lista de Preços'!$S38),'Lista de Preços'!$S38&lt;TODAY()),"ERRO","OK"),"")</f>
        <v/>
      </c>
      <c r="G49" s="27" t="str">
        <f aca="false">IF(COUNTA('Lista de Preços'!$A38:$W38)&gt;0,IF(AND('Lista de Preços'!$A38&lt;&gt;"",COUNTIF('Lista de Preços'!$A$4:$A$503,'Lista de Preços'!$A38)&gt;1),"ERRO","OK"),"")</f>
        <v/>
      </c>
      <c r="H49" s="27" t="str">
        <f aca="false">IF(COUNTA('Lista de Preços'!$A38:$W38)&gt;0,IF(AND('Lista de Preços'!$N38&lt;&gt;"",ISNUMBER('Lista de Preços'!$N38),OR('Lista de Preços'!$N38&lt;0,'Lista de Preços'!$N38&gt;0.5)),"ERRO","OK"),"")</f>
        <v/>
      </c>
      <c r="I49" s="27" t="str">
        <f aca="false">IF(COUNTA('Lista de Preços'!$A38:$W38)&gt;0,IF(OR($C49="ERRO",$D49="ERRO",$E49="ERRO",$F49="ERRO",$G49="ERRO",$H49="ERRO"),"FALHA","OK"),"")</f>
        <v/>
      </c>
    </row>
    <row r="50" customFormat="false" ht="15" hidden="false" customHeight="false" outlineLevel="0" collapsed="false">
      <c r="A50" s="26" t="n">
        <f aca="false">'Lista de Preços'!$A39</f>
        <v>0</v>
      </c>
      <c r="B50" s="26" t="n">
        <f aca="false">'Lista de Preços'!$B39</f>
        <v>0</v>
      </c>
      <c r="C50" s="27" t="str">
        <f aca="false">IF(COUNTA('Lista de Preços'!$A39:$W39)&gt;0,IF((COUNTBLANK('Lista de Preços'!$A39)+COUNTBLANK('Lista de Preços'!$B39)+COUNTBLANK('Lista de Preços'!$C39)+COUNTBLANK('Lista de Preços'!$D39)+COUNTBLANK('Lista de Preços'!$E39)+COUNTBLANK('Lista de Preços'!$F39)+COUNTBLANK('Lista de Preços'!$L39)+COUNTBLANK('Lista de Preços'!$M39)+COUNTBLANK('Lista de Preços'!$P39)+COUNTBLANK('Lista de Preços'!$U39)+COUNTBLANK('Lista de Preços'!$V39))&gt;0,"ERRO","OK"),"")</f>
        <v/>
      </c>
      <c r="D50" s="27" t="str">
        <f aca="false">IF(COUNTA('Lista de Preços'!$A39:$W39)&gt;0,IF(OR(AND('Lista de Preços'!$L39&lt;&gt;"",NOT(ISNUMBER('Lista de Preços'!$L39))),AND('Lista de Preços'!$M39&lt;&gt;"",NOT(ISNUMBER('Lista de Preços'!$M39)))),"ERRO","OK"),"")</f>
        <v/>
      </c>
      <c r="E50" s="27" t="str">
        <f aca="false">IF(COUNTA('Lista de Preços'!$A39:$W39)&gt;0,IF(AND(ISNUMBER('Lista de Preços'!$L39),ISNUMBER('Lista de Preços'!$M39),'Lista de Preços'!$L39&gt;'Lista de Preços'!$M39),"ERRO","OK"),"")</f>
        <v/>
      </c>
      <c r="F50" s="27" t="str">
        <f aca="true">IF(COUNTA('Lista de Preços'!$A39:$W39)&gt;0,IF(AND('Lista de Preços'!$S39&lt;&gt;"",ISNUMBER('Lista de Preços'!$S39),'Lista de Preços'!$S39&lt;TODAY()),"ERRO","OK"),"")</f>
        <v/>
      </c>
      <c r="G50" s="27" t="str">
        <f aca="false">IF(COUNTA('Lista de Preços'!$A39:$W39)&gt;0,IF(AND('Lista de Preços'!$A39&lt;&gt;"",COUNTIF('Lista de Preços'!$A$4:$A$503,'Lista de Preços'!$A39)&gt;1),"ERRO","OK"),"")</f>
        <v/>
      </c>
      <c r="H50" s="27" t="str">
        <f aca="false">IF(COUNTA('Lista de Preços'!$A39:$W39)&gt;0,IF(AND('Lista de Preços'!$N39&lt;&gt;"",ISNUMBER('Lista de Preços'!$N39),OR('Lista de Preços'!$N39&lt;0,'Lista de Preços'!$N39&gt;0.5)),"ERRO","OK"),"")</f>
        <v/>
      </c>
      <c r="I50" s="27" t="str">
        <f aca="false">IF(COUNTA('Lista de Preços'!$A39:$W39)&gt;0,IF(OR($C50="ERRO",$D50="ERRO",$E50="ERRO",$F50="ERRO",$G50="ERRO",$H50="ERRO"),"FALHA","OK"),"")</f>
        <v/>
      </c>
    </row>
    <row r="51" customFormat="false" ht="15" hidden="false" customHeight="false" outlineLevel="0" collapsed="false">
      <c r="A51" s="26" t="n">
        <f aca="false">'Lista de Preços'!$A40</f>
        <v>0</v>
      </c>
      <c r="B51" s="26" t="n">
        <f aca="false">'Lista de Preços'!$B40</f>
        <v>0</v>
      </c>
      <c r="C51" s="27" t="str">
        <f aca="false">IF(COUNTA('Lista de Preços'!$A40:$W40)&gt;0,IF((COUNTBLANK('Lista de Preços'!$A40)+COUNTBLANK('Lista de Preços'!$B40)+COUNTBLANK('Lista de Preços'!$C40)+COUNTBLANK('Lista de Preços'!$D40)+COUNTBLANK('Lista de Preços'!$E40)+COUNTBLANK('Lista de Preços'!$F40)+COUNTBLANK('Lista de Preços'!$L40)+COUNTBLANK('Lista de Preços'!$M40)+COUNTBLANK('Lista de Preços'!$P40)+COUNTBLANK('Lista de Preços'!$U40)+COUNTBLANK('Lista de Preços'!$V40))&gt;0,"ERRO","OK"),"")</f>
        <v/>
      </c>
      <c r="D51" s="27" t="str">
        <f aca="false">IF(COUNTA('Lista de Preços'!$A40:$W40)&gt;0,IF(OR(AND('Lista de Preços'!$L40&lt;&gt;"",NOT(ISNUMBER('Lista de Preços'!$L40))),AND('Lista de Preços'!$M40&lt;&gt;"",NOT(ISNUMBER('Lista de Preços'!$M40)))),"ERRO","OK"),"")</f>
        <v/>
      </c>
      <c r="E51" s="27" t="str">
        <f aca="false">IF(COUNTA('Lista de Preços'!$A40:$W40)&gt;0,IF(AND(ISNUMBER('Lista de Preços'!$L40),ISNUMBER('Lista de Preços'!$M40),'Lista de Preços'!$L40&gt;'Lista de Preços'!$M40),"ERRO","OK"),"")</f>
        <v/>
      </c>
      <c r="F51" s="27" t="str">
        <f aca="true">IF(COUNTA('Lista de Preços'!$A40:$W40)&gt;0,IF(AND('Lista de Preços'!$S40&lt;&gt;"",ISNUMBER('Lista de Preços'!$S40),'Lista de Preços'!$S40&lt;TODAY()),"ERRO","OK"),"")</f>
        <v/>
      </c>
      <c r="G51" s="27" t="str">
        <f aca="false">IF(COUNTA('Lista de Preços'!$A40:$W40)&gt;0,IF(AND('Lista de Preços'!$A40&lt;&gt;"",COUNTIF('Lista de Preços'!$A$4:$A$503,'Lista de Preços'!$A40)&gt;1),"ERRO","OK"),"")</f>
        <v/>
      </c>
      <c r="H51" s="27" t="str">
        <f aca="false">IF(COUNTA('Lista de Preços'!$A40:$W40)&gt;0,IF(AND('Lista de Preços'!$N40&lt;&gt;"",ISNUMBER('Lista de Preços'!$N40),OR('Lista de Preços'!$N40&lt;0,'Lista de Preços'!$N40&gt;0.5)),"ERRO","OK"),"")</f>
        <v/>
      </c>
      <c r="I51" s="27" t="str">
        <f aca="false">IF(COUNTA('Lista de Preços'!$A40:$W40)&gt;0,IF(OR($C51="ERRO",$D51="ERRO",$E51="ERRO",$F51="ERRO",$G51="ERRO",$H51="ERRO"),"FALHA","OK"),"")</f>
        <v/>
      </c>
    </row>
    <row r="52" customFormat="false" ht="15" hidden="false" customHeight="false" outlineLevel="0" collapsed="false">
      <c r="A52" s="26" t="n">
        <f aca="false">'Lista de Preços'!$A41</f>
        <v>0</v>
      </c>
      <c r="B52" s="26" t="n">
        <f aca="false">'Lista de Preços'!$B41</f>
        <v>0</v>
      </c>
      <c r="C52" s="27" t="str">
        <f aca="false">IF(COUNTA('Lista de Preços'!$A41:$W41)&gt;0,IF((COUNTBLANK('Lista de Preços'!$A41)+COUNTBLANK('Lista de Preços'!$B41)+COUNTBLANK('Lista de Preços'!$C41)+COUNTBLANK('Lista de Preços'!$D41)+COUNTBLANK('Lista de Preços'!$E41)+COUNTBLANK('Lista de Preços'!$F41)+COUNTBLANK('Lista de Preços'!$L41)+COUNTBLANK('Lista de Preços'!$M41)+COUNTBLANK('Lista de Preços'!$P41)+COUNTBLANK('Lista de Preços'!$U41)+COUNTBLANK('Lista de Preços'!$V41))&gt;0,"ERRO","OK"),"")</f>
        <v/>
      </c>
      <c r="D52" s="27" t="str">
        <f aca="false">IF(COUNTA('Lista de Preços'!$A41:$W41)&gt;0,IF(OR(AND('Lista de Preços'!$L41&lt;&gt;"",NOT(ISNUMBER('Lista de Preços'!$L41))),AND('Lista de Preços'!$M41&lt;&gt;"",NOT(ISNUMBER('Lista de Preços'!$M41)))),"ERRO","OK"),"")</f>
        <v/>
      </c>
      <c r="E52" s="27" t="str">
        <f aca="false">IF(COUNTA('Lista de Preços'!$A41:$W41)&gt;0,IF(AND(ISNUMBER('Lista de Preços'!$L41),ISNUMBER('Lista de Preços'!$M41),'Lista de Preços'!$L41&gt;'Lista de Preços'!$M41),"ERRO","OK"),"")</f>
        <v/>
      </c>
      <c r="F52" s="27" t="str">
        <f aca="true">IF(COUNTA('Lista de Preços'!$A41:$W41)&gt;0,IF(AND('Lista de Preços'!$S41&lt;&gt;"",ISNUMBER('Lista de Preços'!$S41),'Lista de Preços'!$S41&lt;TODAY()),"ERRO","OK"),"")</f>
        <v/>
      </c>
      <c r="G52" s="27" t="str">
        <f aca="false">IF(COUNTA('Lista de Preços'!$A41:$W41)&gt;0,IF(AND('Lista de Preços'!$A41&lt;&gt;"",COUNTIF('Lista de Preços'!$A$4:$A$503,'Lista de Preços'!$A41)&gt;1),"ERRO","OK"),"")</f>
        <v/>
      </c>
      <c r="H52" s="27" t="str">
        <f aca="false">IF(COUNTA('Lista de Preços'!$A41:$W41)&gt;0,IF(AND('Lista de Preços'!$N41&lt;&gt;"",ISNUMBER('Lista de Preços'!$N41),OR('Lista de Preços'!$N41&lt;0,'Lista de Preços'!$N41&gt;0.5)),"ERRO","OK"),"")</f>
        <v/>
      </c>
      <c r="I52" s="27" t="str">
        <f aca="false">IF(COUNTA('Lista de Preços'!$A41:$W41)&gt;0,IF(OR($C52="ERRO",$D52="ERRO",$E52="ERRO",$F52="ERRO",$G52="ERRO",$H52="ERRO"),"FALHA","OK"),"")</f>
        <v/>
      </c>
    </row>
    <row r="53" customFormat="false" ht="15" hidden="false" customHeight="false" outlineLevel="0" collapsed="false">
      <c r="A53" s="26" t="n">
        <f aca="false">'Lista de Preços'!$A42</f>
        <v>0</v>
      </c>
      <c r="B53" s="26" t="n">
        <f aca="false">'Lista de Preços'!$B42</f>
        <v>0</v>
      </c>
      <c r="C53" s="27" t="str">
        <f aca="false">IF(COUNTA('Lista de Preços'!$A42:$W42)&gt;0,IF((COUNTBLANK('Lista de Preços'!$A42)+COUNTBLANK('Lista de Preços'!$B42)+COUNTBLANK('Lista de Preços'!$C42)+COUNTBLANK('Lista de Preços'!$D42)+COUNTBLANK('Lista de Preços'!$E42)+COUNTBLANK('Lista de Preços'!$F42)+COUNTBLANK('Lista de Preços'!$L42)+COUNTBLANK('Lista de Preços'!$M42)+COUNTBLANK('Lista de Preços'!$P42)+COUNTBLANK('Lista de Preços'!$U42)+COUNTBLANK('Lista de Preços'!$V42))&gt;0,"ERRO","OK"),"")</f>
        <v/>
      </c>
      <c r="D53" s="27" t="str">
        <f aca="false">IF(COUNTA('Lista de Preços'!$A42:$W42)&gt;0,IF(OR(AND('Lista de Preços'!$L42&lt;&gt;"",NOT(ISNUMBER('Lista de Preços'!$L42))),AND('Lista de Preços'!$M42&lt;&gt;"",NOT(ISNUMBER('Lista de Preços'!$M42)))),"ERRO","OK"),"")</f>
        <v/>
      </c>
      <c r="E53" s="27" t="str">
        <f aca="false">IF(COUNTA('Lista de Preços'!$A42:$W42)&gt;0,IF(AND(ISNUMBER('Lista de Preços'!$L42),ISNUMBER('Lista de Preços'!$M42),'Lista de Preços'!$L42&gt;'Lista de Preços'!$M42),"ERRO","OK"),"")</f>
        <v/>
      </c>
      <c r="F53" s="27" t="str">
        <f aca="true">IF(COUNTA('Lista de Preços'!$A42:$W42)&gt;0,IF(AND('Lista de Preços'!$S42&lt;&gt;"",ISNUMBER('Lista de Preços'!$S42),'Lista de Preços'!$S42&lt;TODAY()),"ERRO","OK"),"")</f>
        <v/>
      </c>
      <c r="G53" s="27" t="str">
        <f aca="false">IF(COUNTA('Lista de Preços'!$A42:$W42)&gt;0,IF(AND('Lista de Preços'!$A42&lt;&gt;"",COUNTIF('Lista de Preços'!$A$4:$A$503,'Lista de Preços'!$A42)&gt;1),"ERRO","OK"),"")</f>
        <v/>
      </c>
      <c r="H53" s="27" t="str">
        <f aca="false">IF(COUNTA('Lista de Preços'!$A42:$W42)&gt;0,IF(AND('Lista de Preços'!$N42&lt;&gt;"",ISNUMBER('Lista de Preços'!$N42),OR('Lista de Preços'!$N42&lt;0,'Lista de Preços'!$N42&gt;0.5)),"ERRO","OK"),"")</f>
        <v/>
      </c>
      <c r="I53" s="27" t="str">
        <f aca="false">IF(COUNTA('Lista de Preços'!$A42:$W42)&gt;0,IF(OR($C53="ERRO",$D53="ERRO",$E53="ERRO",$F53="ERRO",$G53="ERRO",$H53="ERRO"),"FALHA","OK"),"")</f>
        <v/>
      </c>
    </row>
    <row r="54" customFormat="false" ht="15" hidden="false" customHeight="false" outlineLevel="0" collapsed="false">
      <c r="A54" s="26" t="n">
        <f aca="false">'Lista de Preços'!$A43</f>
        <v>0</v>
      </c>
      <c r="B54" s="26" t="n">
        <f aca="false">'Lista de Preços'!$B43</f>
        <v>0</v>
      </c>
      <c r="C54" s="27" t="str">
        <f aca="false">IF(COUNTA('Lista de Preços'!$A43:$W43)&gt;0,IF((COUNTBLANK('Lista de Preços'!$A43)+COUNTBLANK('Lista de Preços'!$B43)+COUNTBLANK('Lista de Preços'!$C43)+COUNTBLANK('Lista de Preços'!$D43)+COUNTBLANK('Lista de Preços'!$E43)+COUNTBLANK('Lista de Preços'!$F43)+COUNTBLANK('Lista de Preços'!$L43)+COUNTBLANK('Lista de Preços'!$M43)+COUNTBLANK('Lista de Preços'!$P43)+COUNTBLANK('Lista de Preços'!$U43)+COUNTBLANK('Lista de Preços'!$V43))&gt;0,"ERRO","OK"),"")</f>
        <v/>
      </c>
      <c r="D54" s="27" t="str">
        <f aca="false">IF(COUNTA('Lista de Preços'!$A43:$W43)&gt;0,IF(OR(AND('Lista de Preços'!$L43&lt;&gt;"",NOT(ISNUMBER('Lista de Preços'!$L43))),AND('Lista de Preços'!$M43&lt;&gt;"",NOT(ISNUMBER('Lista de Preços'!$M43)))),"ERRO","OK"),"")</f>
        <v/>
      </c>
      <c r="E54" s="27" t="str">
        <f aca="false">IF(COUNTA('Lista de Preços'!$A43:$W43)&gt;0,IF(AND(ISNUMBER('Lista de Preços'!$L43),ISNUMBER('Lista de Preços'!$M43),'Lista de Preços'!$L43&gt;'Lista de Preços'!$M43),"ERRO","OK"),"")</f>
        <v/>
      </c>
      <c r="F54" s="27" t="str">
        <f aca="true">IF(COUNTA('Lista de Preços'!$A43:$W43)&gt;0,IF(AND('Lista de Preços'!$S43&lt;&gt;"",ISNUMBER('Lista de Preços'!$S43),'Lista de Preços'!$S43&lt;TODAY()),"ERRO","OK"),"")</f>
        <v/>
      </c>
      <c r="G54" s="27" t="str">
        <f aca="false">IF(COUNTA('Lista de Preços'!$A43:$W43)&gt;0,IF(AND('Lista de Preços'!$A43&lt;&gt;"",COUNTIF('Lista de Preços'!$A$4:$A$503,'Lista de Preços'!$A43)&gt;1),"ERRO","OK"),"")</f>
        <v/>
      </c>
      <c r="H54" s="27" t="str">
        <f aca="false">IF(COUNTA('Lista de Preços'!$A43:$W43)&gt;0,IF(AND('Lista de Preços'!$N43&lt;&gt;"",ISNUMBER('Lista de Preços'!$N43),OR('Lista de Preços'!$N43&lt;0,'Lista de Preços'!$N43&gt;0.5)),"ERRO","OK"),"")</f>
        <v/>
      </c>
      <c r="I54" s="27" t="str">
        <f aca="false">IF(COUNTA('Lista de Preços'!$A43:$W43)&gt;0,IF(OR($C54="ERRO",$D54="ERRO",$E54="ERRO",$F54="ERRO",$G54="ERRO",$H54="ERRO"),"FALHA","OK"),"")</f>
        <v/>
      </c>
    </row>
    <row r="55" customFormat="false" ht="15" hidden="false" customHeight="false" outlineLevel="0" collapsed="false">
      <c r="A55" s="26" t="n">
        <f aca="false">'Lista de Preços'!$A44</f>
        <v>0</v>
      </c>
      <c r="B55" s="26" t="n">
        <f aca="false">'Lista de Preços'!$B44</f>
        <v>0</v>
      </c>
      <c r="C55" s="27" t="str">
        <f aca="false">IF(COUNTA('Lista de Preços'!$A44:$W44)&gt;0,IF((COUNTBLANK('Lista de Preços'!$A44)+COUNTBLANK('Lista de Preços'!$B44)+COUNTBLANK('Lista de Preços'!$C44)+COUNTBLANK('Lista de Preços'!$D44)+COUNTBLANK('Lista de Preços'!$E44)+COUNTBLANK('Lista de Preços'!$F44)+COUNTBLANK('Lista de Preços'!$L44)+COUNTBLANK('Lista de Preços'!$M44)+COUNTBLANK('Lista de Preços'!$P44)+COUNTBLANK('Lista de Preços'!$U44)+COUNTBLANK('Lista de Preços'!$V44))&gt;0,"ERRO","OK"),"")</f>
        <v/>
      </c>
      <c r="D55" s="27" t="str">
        <f aca="false">IF(COUNTA('Lista de Preços'!$A44:$W44)&gt;0,IF(OR(AND('Lista de Preços'!$L44&lt;&gt;"",NOT(ISNUMBER('Lista de Preços'!$L44))),AND('Lista de Preços'!$M44&lt;&gt;"",NOT(ISNUMBER('Lista de Preços'!$M44)))),"ERRO","OK"),"")</f>
        <v/>
      </c>
      <c r="E55" s="27" t="str">
        <f aca="false">IF(COUNTA('Lista de Preços'!$A44:$W44)&gt;0,IF(AND(ISNUMBER('Lista de Preços'!$L44),ISNUMBER('Lista de Preços'!$M44),'Lista de Preços'!$L44&gt;'Lista de Preços'!$M44),"ERRO","OK"),"")</f>
        <v/>
      </c>
      <c r="F55" s="27" t="str">
        <f aca="true">IF(COUNTA('Lista de Preços'!$A44:$W44)&gt;0,IF(AND('Lista de Preços'!$S44&lt;&gt;"",ISNUMBER('Lista de Preços'!$S44),'Lista de Preços'!$S44&lt;TODAY()),"ERRO","OK"),"")</f>
        <v/>
      </c>
      <c r="G55" s="27" t="str">
        <f aca="false">IF(COUNTA('Lista de Preços'!$A44:$W44)&gt;0,IF(AND('Lista de Preços'!$A44&lt;&gt;"",COUNTIF('Lista de Preços'!$A$4:$A$503,'Lista de Preços'!$A44)&gt;1),"ERRO","OK"),"")</f>
        <v/>
      </c>
      <c r="H55" s="27" t="str">
        <f aca="false">IF(COUNTA('Lista de Preços'!$A44:$W44)&gt;0,IF(AND('Lista de Preços'!$N44&lt;&gt;"",ISNUMBER('Lista de Preços'!$N44),OR('Lista de Preços'!$N44&lt;0,'Lista de Preços'!$N44&gt;0.5)),"ERRO","OK"),"")</f>
        <v/>
      </c>
      <c r="I55" s="27" t="str">
        <f aca="false">IF(COUNTA('Lista de Preços'!$A44:$W44)&gt;0,IF(OR($C55="ERRO",$D55="ERRO",$E55="ERRO",$F55="ERRO",$G55="ERRO",$H55="ERRO"),"FALHA","OK"),"")</f>
        <v/>
      </c>
    </row>
    <row r="56" customFormat="false" ht="15" hidden="false" customHeight="false" outlineLevel="0" collapsed="false">
      <c r="A56" s="26" t="n">
        <f aca="false">'Lista de Preços'!$A45</f>
        <v>0</v>
      </c>
      <c r="B56" s="26" t="n">
        <f aca="false">'Lista de Preços'!$B45</f>
        <v>0</v>
      </c>
      <c r="C56" s="27" t="str">
        <f aca="false">IF(COUNTA('Lista de Preços'!$A45:$W45)&gt;0,IF((COUNTBLANK('Lista de Preços'!$A45)+COUNTBLANK('Lista de Preços'!$B45)+COUNTBLANK('Lista de Preços'!$C45)+COUNTBLANK('Lista de Preços'!$D45)+COUNTBLANK('Lista de Preços'!$E45)+COUNTBLANK('Lista de Preços'!$F45)+COUNTBLANK('Lista de Preços'!$L45)+COUNTBLANK('Lista de Preços'!$M45)+COUNTBLANK('Lista de Preços'!$P45)+COUNTBLANK('Lista de Preços'!$U45)+COUNTBLANK('Lista de Preços'!$V45))&gt;0,"ERRO","OK"),"")</f>
        <v/>
      </c>
      <c r="D56" s="27" t="str">
        <f aca="false">IF(COUNTA('Lista de Preços'!$A45:$W45)&gt;0,IF(OR(AND('Lista de Preços'!$L45&lt;&gt;"",NOT(ISNUMBER('Lista de Preços'!$L45))),AND('Lista de Preços'!$M45&lt;&gt;"",NOT(ISNUMBER('Lista de Preços'!$M45)))),"ERRO","OK"),"")</f>
        <v/>
      </c>
      <c r="E56" s="27" t="str">
        <f aca="false">IF(COUNTA('Lista de Preços'!$A45:$W45)&gt;0,IF(AND(ISNUMBER('Lista de Preços'!$L45),ISNUMBER('Lista de Preços'!$M45),'Lista de Preços'!$L45&gt;'Lista de Preços'!$M45),"ERRO","OK"),"")</f>
        <v/>
      </c>
      <c r="F56" s="27" t="str">
        <f aca="true">IF(COUNTA('Lista de Preços'!$A45:$W45)&gt;0,IF(AND('Lista de Preços'!$S45&lt;&gt;"",ISNUMBER('Lista de Preços'!$S45),'Lista de Preços'!$S45&lt;TODAY()),"ERRO","OK"),"")</f>
        <v/>
      </c>
      <c r="G56" s="27" t="str">
        <f aca="false">IF(COUNTA('Lista de Preços'!$A45:$W45)&gt;0,IF(AND('Lista de Preços'!$A45&lt;&gt;"",COUNTIF('Lista de Preços'!$A$4:$A$503,'Lista de Preços'!$A45)&gt;1),"ERRO","OK"),"")</f>
        <v/>
      </c>
      <c r="H56" s="27" t="str">
        <f aca="false">IF(COUNTA('Lista de Preços'!$A45:$W45)&gt;0,IF(AND('Lista de Preços'!$N45&lt;&gt;"",ISNUMBER('Lista de Preços'!$N45),OR('Lista de Preços'!$N45&lt;0,'Lista de Preços'!$N45&gt;0.5)),"ERRO","OK"),"")</f>
        <v/>
      </c>
      <c r="I56" s="27" t="str">
        <f aca="false">IF(COUNTA('Lista de Preços'!$A45:$W45)&gt;0,IF(OR($C56="ERRO",$D56="ERRO",$E56="ERRO",$F56="ERRO",$G56="ERRO",$H56="ERRO"),"FALHA","OK"),"")</f>
        <v/>
      </c>
    </row>
    <row r="57" customFormat="false" ht="15" hidden="false" customHeight="false" outlineLevel="0" collapsed="false">
      <c r="A57" s="26" t="n">
        <f aca="false">'Lista de Preços'!$A46</f>
        <v>0</v>
      </c>
      <c r="B57" s="26" t="n">
        <f aca="false">'Lista de Preços'!$B46</f>
        <v>0</v>
      </c>
      <c r="C57" s="27" t="str">
        <f aca="false">IF(COUNTA('Lista de Preços'!$A46:$W46)&gt;0,IF((COUNTBLANK('Lista de Preços'!$A46)+COUNTBLANK('Lista de Preços'!$B46)+COUNTBLANK('Lista de Preços'!$C46)+COUNTBLANK('Lista de Preços'!$D46)+COUNTBLANK('Lista de Preços'!$E46)+COUNTBLANK('Lista de Preços'!$F46)+COUNTBLANK('Lista de Preços'!$L46)+COUNTBLANK('Lista de Preços'!$M46)+COUNTBLANK('Lista de Preços'!$P46)+COUNTBLANK('Lista de Preços'!$U46)+COUNTBLANK('Lista de Preços'!$V46))&gt;0,"ERRO","OK"),"")</f>
        <v/>
      </c>
      <c r="D57" s="27" t="str">
        <f aca="false">IF(COUNTA('Lista de Preços'!$A46:$W46)&gt;0,IF(OR(AND('Lista de Preços'!$L46&lt;&gt;"",NOT(ISNUMBER('Lista de Preços'!$L46))),AND('Lista de Preços'!$M46&lt;&gt;"",NOT(ISNUMBER('Lista de Preços'!$M46)))),"ERRO","OK"),"")</f>
        <v/>
      </c>
      <c r="E57" s="27" t="str">
        <f aca="false">IF(COUNTA('Lista de Preços'!$A46:$W46)&gt;0,IF(AND(ISNUMBER('Lista de Preços'!$L46),ISNUMBER('Lista de Preços'!$M46),'Lista de Preços'!$L46&gt;'Lista de Preços'!$M46),"ERRO","OK"),"")</f>
        <v/>
      </c>
      <c r="F57" s="27" t="str">
        <f aca="true">IF(COUNTA('Lista de Preços'!$A46:$W46)&gt;0,IF(AND('Lista de Preços'!$S46&lt;&gt;"",ISNUMBER('Lista de Preços'!$S46),'Lista de Preços'!$S46&lt;TODAY()),"ERRO","OK"),"")</f>
        <v/>
      </c>
      <c r="G57" s="27" t="str">
        <f aca="false">IF(COUNTA('Lista de Preços'!$A46:$W46)&gt;0,IF(AND('Lista de Preços'!$A46&lt;&gt;"",COUNTIF('Lista de Preços'!$A$4:$A$503,'Lista de Preços'!$A46)&gt;1),"ERRO","OK"),"")</f>
        <v/>
      </c>
      <c r="H57" s="27" t="str">
        <f aca="false">IF(COUNTA('Lista de Preços'!$A46:$W46)&gt;0,IF(AND('Lista de Preços'!$N46&lt;&gt;"",ISNUMBER('Lista de Preços'!$N46),OR('Lista de Preços'!$N46&lt;0,'Lista de Preços'!$N46&gt;0.5)),"ERRO","OK"),"")</f>
        <v/>
      </c>
      <c r="I57" s="27" t="str">
        <f aca="false">IF(COUNTA('Lista de Preços'!$A46:$W46)&gt;0,IF(OR($C57="ERRO",$D57="ERRO",$E57="ERRO",$F57="ERRO",$G57="ERRO",$H57="ERRO"),"FALHA","OK"),"")</f>
        <v/>
      </c>
    </row>
    <row r="58" customFormat="false" ht="15" hidden="false" customHeight="false" outlineLevel="0" collapsed="false">
      <c r="A58" s="26" t="n">
        <f aca="false">'Lista de Preços'!$A47</f>
        <v>0</v>
      </c>
      <c r="B58" s="26" t="n">
        <f aca="false">'Lista de Preços'!$B47</f>
        <v>0</v>
      </c>
      <c r="C58" s="27" t="str">
        <f aca="false">IF(COUNTA('Lista de Preços'!$A47:$W47)&gt;0,IF((COUNTBLANK('Lista de Preços'!$A47)+COUNTBLANK('Lista de Preços'!$B47)+COUNTBLANK('Lista de Preços'!$C47)+COUNTBLANK('Lista de Preços'!$D47)+COUNTBLANK('Lista de Preços'!$E47)+COUNTBLANK('Lista de Preços'!$F47)+COUNTBLANK('Lista de Preços'!$L47)+COUNTBLANK('Lista de Preços'!$M47)+COUNTBLANK('Lista de Preços'!$P47)+COUNTBLANK('Lista de Preços'!$U47)+COUNTBLANK('Lista de Preços'!$V47))&gt;0,"ERRO","OK"),"")</f>
        <v/>
      </c>
      <c r="D58" s="27" t="str">
        <f aca="false">IF(COUNTA('Lista de Preços'!$A47:$W47)&gt;0,IF(OR(AND('Lista de Preços'!$L47&lt;&gt;"",NOT(ISNUMBER('Lista de Preços'!$L47))),AND('Lista de Preços'!$M47&lt;&gt;"",NOT(ISNUMBER('Lista de Preços'!$M47)))),"ERRO","OK"),"")</f>
        <v/>
      </c>
      <c r="E58" s="27" t="str">
        <f aca="false">IF(COUNTA('Lista de Preços'!$A47:$W47)&gt;0,IF(AND(ISNUMBER('Lista de Preços'!$L47),ISNUMBER('Lista de Preços'!$M47),'Lista de Preços'!$L47&gt;'Lista de Preços'!$M47),"ERRO","OK"),"")</f>
        <v/>
      </c>
      <c r="F58" s="27" t="str">
        <f aca="true">IF(COUNTA('Lista de Preços'!$A47:$W47)&gt;0,IF(AND('Lista de Preços'!$S47&lt;&gt;"",ISNUMBER('Lista de Preços'!$S47),'Lista de Preços'!$S47&lt;TODAY()),"ERRO","OK"),"")</f>
        <v/>
      </c>
      <c r="G58" s="27" t="str">
        <f aca="false">IF(COUNTA('Lista de Preços'!$A47:$W47)&gt;0,IF(AND('Lista de Preços'!$A47&lt;&gt;"",COUNTIF('Lista de Preços'!$A$4:$A$503,'Lista de Preços'!$A47)&gt;1),"ERRO","OK"),"")</f>
        <v/>
      </c>
      <c r="H58" s="27" t="str">
        <f aca="false">IF(COUNTA('Lista de Preços'!$A47:$W47)&gt;0,IF(AND('Lista de Preços'!$N47&lt;&gt;"",ISNUMBER('Lista de Preços'!$N47),OR('Lista de Preços'!$N47&lt;0,'Lista de Preços'!$N47&gt;0.5)),"ERRO","OK"),"")</f>
        <v/>
      </c>
      <c r="I58" s="27" t="str">
        <f aca="false">IF(COUNTA('Lista de Preços'!$A47:$W47)&gt;0,IF(OR($C58="ERRO",$D58="ERRO",$E58="ERRO",$F58="ERRO",$G58="ERRO",$H58="ERRO"),"FALHA","OK"),"")</f>
        <v/>
      </c>
    </row>
    <row r="59" customFormat="false" ht="15" hidden="false" customHeight="false" outlineLevel="0" collapsed="false">
      <c r="A59" s="26" t="n">
        <f aca="false">'Lista de Preços'!$A48</f>
        <v>0</v>
      </c>
      <c r="B59" s="26" t="n">
        <f aca="false">'Lista de Preços'!$B48</f>
        <v>0</v>
      </c>
      <c r="C59" s="27" t="str">
        <f aca="false">IF(COUNTA('Lista de Preços'!$A48:$W48)&gt;0,IF((COUNTBLANK('Lista de Preços'!$A48)+COUNTBLANK('Lista de Preços'!$B48)+COUNTBLANK('Lista de Preços'!$C48)+COUNTBLANK('Lista de Preços'!$D48)+COUNTBLANK('Lista de Preços'!$E48)+COUNTBLANK('Lista de Preços'!$F48)+COUNTBLANK('Lista de Preços'!$L48)+COUNTBLANK('Lista de Preços'!$M48)+COUNTBLANK('Lista de Preços'!$P48)+COUNTBLANK('Lista de Preços'!$U48)+COUNTBLANK('Lista de Preços'!$V48))&gt;0,"ERRO","OK"),"")</f>
        <v/>
      </c>
      <c r="D59" s="27" t="str">
        <f aca="false">IF(COUNTA('Lista de Preços'!$A48:$W48)&gt;0,IF(OR(AND('Lista de Preços'!$L48&lt;&gt;"",NOT(ISNUMBER('Lista de Preços'!$L48))),AND('Lista de Preços'!$M48&lt;&gt;"",NOT(ISNUMBER('Lista de Preços'!$M48)))),"ERRO","OK"),"")</f>
        <v/>
      </c>
      <c r="E59" s="27" t="str">
        <f aca="false">IF(COUNTA('Lista de Preços'!$A48:$W48)&gt;0,IF(AND(ISNUMBER('Lista de Preços'!$L48),ISNUMBER('Lista de Preços'!$M48),'Lista de Preços'!$L48&gt;'Lista de Preços'!$M48),"ERRO","OK"),"")</f>
        <v/>
      </c>
      <c r="F59" s="27" t="str">
        <f aca="true">IF(COUNTA('Lista de Preços'!$A48:$W48)&gt;0,IF(AND('Lista de Preços'!$S48&lt;&gt;"",ISNUMBER('Lista de Preços'!$S48),'Lista de Preços'!$S48&lt;TODAY()),"ERRO","OK"),"")</f>
        <v/>
      </c>
      <c r="G59" s="27" t="str">
        <f aca="false">IF(COUNTA('Lista de Preços'!$A48:$W48)&gt;0,IF(AND('Lista de Preços'!$A48&lt;&gt;"",COUNTIF('Lista de Preços'!$A$4:$A$503,'Lista de Preços'!$A48)&gt;1),"ERRO","OK"),"")</f>
        <v/>
      </c>
      <c r="H59" s="27" t="str">
        <f aca="false">IF(COUNTA('Lista de Preços'!$A48:$W48)&gt;0,IF(AND('Lista de Preços'!$N48&lt;&gt;"",ISNUMBER('Lista de Preços'!$N48),OR('Lista de Preços'!$N48&lt;0,'Lista de Preços'!$N48&gt;0.5)),"ERRO","OK"),"")</f>
        <v/>
      </c>
      <c r="I59" s="27" t="str">
        <f aca="false">IF(COUNTA('Lista de Preços'!$A48:$W48)&gt;0,IF(OR($C59="ERRO",$D59="ERRO",$E59="ERRO",$F59="ERRO",$G59="ERRO",$H59="ERRO"),"FALHA","OK"),"")</f>
        <v/>
      </c>
    </row>
    <row r="60" customFormat="false" ht="15" hidden="false" customHeight="false" outlineLevel="0" collapsed="false">
      <c r="A60" s="26" t="n">
        <f aca="false">'Lista de Preços'!$A49</f>
        <v>0</v>
      </c>
      <c r="B60" s="26" t="n">
        <f aca="false">'Lista de Preços'!$B49</f>
        <v>0</v>
      </c>
      <c r="C60" s="27" t="str">
        <f aca="false">IF(COUNTA('Lista de Preços'!$A49:$W49)&gt;0,IF((COUNTBLANK('Lista de Preços'!$A49)+COUNTBLANK('Lista de Preços'!$B49)+COUNTBLANK('Lista de Preços'!$C49)+COUNTBLANK('Lista de Preços'!$D49)+COUNTBLANK('Lista de Preços'!$E49)+COUNTBLANK('Lista de Preços'!$F49)+COUNTBLANK('Lista de Preços'!$L49)+COUNTBLANK('Lista de Preços'!$M49)+COUNTBLANK('Lista de Preços'!$P49)+COUNTBLANK('Lista de Preços'!$U49)+COUNTBLANK('Lista de Preços'!$V49))&gt;0,"ERRO","OK"),"")</f>
        <v/>
      </c>
      <c r="D60" s="27" t="str">
        <f aca="false">IF(COUNTA('Lista de Preços'!$A49:$W49)&gt;0,IF(OR(AND('Lista de Preços'!$L49&lt;&gt;"",NOT(ISNUMBER('Lista de Preços'!$L49))),AND('Lista de Preços'!$M49&lt;&gt;"",NOT(ISNUMBER('Lista de Preços'!$M49)))),"ERRO","OK"),"")</f>
        <v/>
      </c>
      <c r="E60" s="27" t="str">
        <f aca="false">IF(COUNTA('Lista de Preços'!$A49:$W49)&gt;0,IF(AND(ISNUMBER('Lista de Preços'!$L49),ISNUMBER('Lista de Preços'!$M49),'Lista de Preços'!$L49&gt;'Lista de Preços'!$M49),"ERRO","OK"),"")</f>
        <v/>
      </c>
      <c r="F60" s="27" t="str">
        <f aca="true">IF(COUNTA('Lista de Preços'!$A49:$W49)&gt;0,IF(AND('Lista de Preços'!$S49&lt;&gt;"",ISNUMBER('Lista de Preços'!$S49),'Lista de Preços'!$S49&lt;TODAY()),"ERRO","OK"),"")</f>
        <v/>
      </c>
      <c r="G60" s="27" t="str">
        <f aca="false">IF(COUNTA('Lista de Preços'!$A49:$W49)&gt;0,IF(AND('Lista de Preços'!$A49&lt;&gt;"",COUNTIF('Lista de Preços'!$A$4:$A$503,'Lista de Preços'!$A49)&gt;1),"ERRO","OK"),"")</f>
        <v/>
      </c>
      <c r="H60" s="27" t="str">
        <f aca="false">IF(COUNTA('Lista de Preços'!$A49:$W49)&gt;0,IF(AND('Lista de Preços'!$N49&lt;&gt;"",ISNUMBER('Lista de Preços'!$N49),OR('Lista de Preços'!$N49&lt;0,'Lista de Preços'!$N49&gt;0.5)),"ERRO","OK"),"")</f>
        <v/>
      </c>
      <c r="I60" s="27" t="str">
        <f aca="false">IF(COUNTA('Lista de Preços'!$A49:$W49)&gt;0,IF(OR($C60="ERRO",$D60="ERRO",$E60="ERRO",$F60="ERRO",$G60="ERRO",$H60="ERRO"),"FALHA","OK"),"")</f>
        <v/>
      </c>
    </row>
    <row r="61" customFormat="false" ht="15" hidden="false" customHeight="false" outlineLevel="0" collapsed="false">
      <c r="A61" s="26" t="n">
        <f aca="false">'Lista de Preços'!$A50</f>
        <v>0</v>
      </c>
      <c r="B61" s="26" t="n">
        <f aca="false">'Lista de Preços'!$B50</f>
        <v>0</v>
      </c>
      <c r="C61" s="27" t="str">
        <f aca="false">IF(COUNTA('Lista de Preços'!$A50:$W50)&gt;0,IF((COUNTBLANK('Lista de Preços'!$A50)+COUNTBLANK('Lista de Preços'!$B50)+COUNTBLANK('Lista de Preços'!$C50)+COUNTBLANK('Lista de Preços'!$D50)+COUNTBLANK('Lista de Preços'!$E50)+COUNTBLANK('Lista de Preços'!$F50)+COUNTBLANK('Lista de Preços'!$L50)+COUNTBLANK('Lista de Preços'!$M50)+COUNTBLANK('Lista de Preços'!$P50)+COUNTBLANK('Lista de Preços'!$U50)+COUNTBLANK('Lista de Preços'!$V50))&gt;0,"ERRO","OK"),"")</f>
        <v/>
      </c>
      <c r="D61" s="27" t="str">
        <f aca="false">IF(COUNTA('Lista de Preços'!$A50:$W50)&gt;0,IF(OR(AND('Lista de Preços'!$L50&lt;&gt;"",NOT(ISNUMBER('Lista de Preços'!$L50))),AND('Lista de Preços'!$M50&lt;&gt;"",NOT(ISNUMBER('Lista de Preços'!$M50)))),"ERRO","OK"),"")</f>
        <v/>
      </c>
      <c r="E61" s="27" t="str">
        <f aca="false">IF(COUNTA('Lista de Preços'!$A50:$W50)&gt;0,IF(AND(ISNUMBER('Lista de Preços'!$L50),ISNUMBER('Lista de Preços'!$M50),'Lista de Preços'!$L50&gt;'Lista de Preços'!$M50),"ERRO","OK"),"")</f>
        <v/>
      </c>
      <c r="F61" s="27" t="str">
        <f aca="true">IF(COUNTA('Lista de Preços'!$A50:$W50)&gt;0,IF(AND('Lista de Preços'!$S50&lt;&gt;"",ISNUMBER('Lista de Preços'!$S50),'Lista de Preços'!$S50&lt;TODAY()),"ERRO","OK"),"")</f>
        <v/>
      </c>
      <c r="G61" s="27" t="str">
        <f aca="false">IF(COUNTA('Lista de Preços'!$A50:$W50)&gt;0,IF(AND('Lista de Preços'!$A50&lt;&gt;"",COUNTIF('Lista de Preços'!$A$4:$A$503,'Lista de Preços'!$A50)&gt;1),"ERRO","OK"),"")</f>
        <v/>
      </c>
      <c r="H61" s="27" t="str">
        <f aca="false">IF(COUNTA('Lista de Preços'!$A50:$W50)&gt;0,IF(AND('Lista de Preços'!$N50&lt;&gt;"",ISNUMBER('Lista de Preços'!$N50),OR('Lista de Preços'!$N50&lt;0,'Lista de Preços'!$N50&gt;0.5)),"ERRO","OK"),"")</f>
        <v/>
      </c>
      <c r="I61" s="27" t="str">
        <f aca="false">IF(COUNTA('Lista de Preços'!$A50:$W50)&gt;0,IF(OR($C61="ERRO",$D61="ERRO",$E61="ERRO",$F61="ERRO",$G61="ERRO",$H61="ERRO"),"FALHA","OK"),"")</f>
        <v/>
      </c>
    </row>
    <row r="62" customFormat="false" ht="15" hidden="false" customHeight="false" outlineLevel="0" collapsed="false">
      <c r="A62" s="26" t="n">
        <f aca="false">'Lista de Preços'!$A51</f>
        <v>0</v>
      </c>
      <c r="B62" s="26" t="n">
        <f aca="false">'Lista de Preços'!$B51</f>
        <v>0</v>
      </c>
      <c r="C62" s="27" t="str">
        <f aca="false">IF(COUNTA('Lista de Preços'!$A51:$W51)&gt;0,IF((COUNTBLANK('Lista de Preços'!$A51)+COUNTBLANK('Lista de Preços'!$B51)+COUNTBLANK('Lista de Preços'!$C51)+COUNTBLANK('Lista de Preços'!$D51)+COUNTBLANK('Lista de Preços'!$E51)+COUNTBLANK('Lista de Preços'!$F51)+COUNTBLANK('Lista de Preços'!$L51)+COUNTBLANK('Lista de Preços'!$M51)+COUNTBLANK('Lista de Preços'!$P51)+COUNTBLANK('Lista de Preços'!$U51)+COUNTBLANK('Lista de Preços'!$V51))&gt;0,"ERRO","OK"),"")</f>
        <v/>
      </c>
      <c r="D62" s="27" t="str">
        <f aca="false">IF(COUNTA('Lista de Preços'!$A51:$W51)&gt;0,IF(OR(AND('Lista de Preços'!$L51&lt;&gt;"",NOT(ISNUMBER('Lista de Preços'!$L51))),AND('Lista de Preços'!$M51&lt;&gt;"",NOT(ISNUMBER('Lista de Preços'!$M51)))),"ERRO","OK"),"")</f>
        <v/>
      </c>
      <c r="E62" s="27" t="str">
        <f aca="false">IF(COUNTA('Lista de Preços'!$A51:$W51)&gt;0,IF(AND(ISNUMBER('Lista de Preços'!$L51),ISNUMBER('Lista de Preços'!$M51),'Lista de Preços'!$L51&gt;'Lista de Preços'!$M51),"ERRO","OK"),"")</f>
        <v/>
      </c>
      <c r="F62" s="27" t="str">
        <f aca="true">IF(COUNTA('Lista de Preços'!$A51:$W51)&gt;0,IF(AND('Lista de Preços'!$S51&lt;&gt;"",ISNUMBER('Lista de Preços'!$S51),'Lista de Preços'!$S51&lt;TODAY()),"ERRO","OK"),"")</f>
        <v/>
      </c>
      <c r="G62" s="27" t="str">
        <f aca="false">IF(COUNTA('Lista de Preços'!$A51:$W51)&gt;0,IF(AND('Lista de Preços'!$A51&lt;&gt;"",COUNTIF('Lista de Preços'!$A$4:$A$503,'Lista de Preços'!$A51)&gt;1),"ERRO","OK"),"")</f>
        <v/>
      </c>
      <c r="H62" s="27" t="str">
        <f aca="false">IF(COUNTA('Lista de Preços'!$A51:$W51)&gt;0,IF(AND('Lista de Preços'!$N51&lt;&gt;"",ISNUMBER('Lista de Preços'!$N51),OR('Lista de Preços'!$N51&lt;0,'Lista de Preços'!$N51&gt;0.5)),"ERRO","OK"),"")</f>
        <v/>
      </c>
      <c r="I62" s="27" t="str">
        <f aca="false">IF(COUNTA('Lista de Preços'!$A51:$W51)&gt;0,IF(OR($C62="ERRO",$D62="ERRO",$E62="ERRO",$F62="ERRO",$G62="ERRO",$H62="ERRO"),"FALHA","OK"),"")</f>
        <v/>
      </c>
    </row>
    <row r="63" customFormat="false" ht="15" hidden="false" customHeight="false" outlineLevel="0" collapsed="false">
      <c r="A63" s="26" t="n">
        <f aca="false">'Lista de Preços'!$A52</f>
        <v>0</v>
      </c>
      <c r="B63" s="26" t="n">
        <f aca="false">'Lista de Preços'!$B52</f>
        <v>0</v>
      </c>
      <c r="C63" s="27" t="str">
        <f aca="false">IF(COUNTA('Lista de Preços'!$A52:$W52)&gt;0,IF((COUNTBLANK('Lista de Preços'!$A52)+COUNTBLANK('Lista de Preços'!$B52)+COUNTBLANK('Lista de Preços'!$C52)+COUNTBLANK('Lista de Preços'!$D52)+COUNTBLANK('Lista de Preços'!$E52)+COUNTBLANK('Lista de Preços'!$F52)+COUNTBLANK('Lista de Preços'!$L52)+COUNTBLANK('Lista de Preços'!$M52)+COUNTBLANK('Lista de Preços'!$P52)+COUNTBLANK('Lista de Preços'!$U52)+COUNTBLANK('Lista de Preços'!$V52))&gt;0,"ERRO","OK"),"")</f>
        <v/>
      </c>
      <c r="D63" s="27" t="str">
        <f aca="false">IF(COUNTA('Lista de Preços'!$A52:$W52)&gt;0,IF(OR(AND('Lista de Preços'!$L52&lt;&gt;"",NOT(ISNUMBER('Lista de Preços'!$L52))),AND('Lista de Preços'!$M52&lt;&gt;"",NOT(ISNUMBER('Lista de Preços'!$M52)))),"ERRO","OK"),"")</f>
        <v/>
      </c>
      <c r="E63" s="27" t="str">
        <f aca="false">IF(COUNTA('Lista de Preços'!$A52:$W52)&gt;0,IF(AND(ISNUMBER('Lista de Preços'!$L52),ISNUMBER('Lista de Preços'!$M52),'Lista de Preços'!$L52&gt;'Lista de Preços'!$M52),"ERRO","OK"),"")</f>
        <v/>
      </c>
      <c r="F63" s="27" t="str">
        <f aca="true">IF(COUNTA('Lista de Preços'!$A52:$W52)&gt;0,IF(AND('Lista de Preços'!$S52&lt;&gt;"",ISNUMBER('Lista de Preços'!$S52),'Lista de Preços'!$S52&lt;TODAY()),"ERRO","OK"),"")</f>
        <v/>
      </c>
      <c r="G63" s="27" t="str">
        <f aca="false">IF(COUNTA('Lista de Preços'!$A52:$W52)&gt;0,IF(AND('Lista de Preços'!$A52&lt;&gt;"",COUNTIF('Lista de Preços'!$A$4:$A$503,'Lista de Preços'!$A52)&gt;1),"ERRO","OK"),"")</f>
        <v/>
      </c>
      <c r="H63" s="27" t="str">
        <f aca="false">IF(COUNTA('Lista de Preços'!$A52:$W52)&gt;0,IF(AND('Lista de Preços'!$N52&lt;&gt;"",ISNUMBER('Lista de Preços'!$N52),OR('Lista de Preços'!$N52&lt;0,'Lista de Preços'!$N52&gt;0.5)),"ERRO","OK"),"")</f>
        <v/>
      </c>
      <c r="I63" s="27" t="str">
        <f aca="false">IF(COUNTA('Lista de Preços'!$A52:$W52)&gt;0,IF(OR($C63="ERRO",$D63="ERRO",$E63="ERRO",$F63="ERRO",$G63="ERRO",$H63="ERRO"),"FALHA","OK"),"")</f>
        <v/>
      </c>
    </row>
    <row r="64" customFormat="false" ht="15" hidden="false" customHeight="false" outlineLevel="0" collapsed="false">
      <c r="A64" s="26" t="n">
        <f aca="false">'Lista de Preços'!$A53</f>
        <v>0</v>
      </c>
      <c r="B64" s="26" t="n">
        <f aca="false">'Lista de Preços'!$B53</f>
        <v>0</v>
      </c>
      <c r="C64" s="27" t="str">
        <f aca="false">IF(COUNTA('Lista de Preços'!$A53:$W53)&gt;0,IF((COUNTBLANK('Lista de Preços'!$A53)+COUNTBLANK('Lista de Preços'!$B53)+COUNTBLANK('Lista de Preços'!$C53)+COUNTBLANK('Lista de Preços'!$D53)+COUNTBLANK('Lista de Preços'!$E53)+COUNTBLANK('Lista de Preços'!$F53)+COUNTBLANK('Lista de Preços'!$L53)+COUNTBLANK('Lista de Preços'!$M53)+COUNTBLANK('Lista de Preços'!$P53)+COUNTBLANK('Lista de Preços'!$U53)+COUNTBLANK('Lista de Preços'!$V53))&gt;0,"ERRO","OK"),"")</f>
        <v/>
      </c>
      <c r="D64" s="27" t="str">
        <f aca="false">IF(COUNTA('Lista de Preços'!$A53:$W53)&gt;0,IF(OR(AND('Lista de Preços'!$L53&lt;&gt;"",NOT(ISNUMBER('Lista de Preços'!$L53))),AND('Lista de Preços'!$M53&lt;&gt;"",NOT(ISNUMBER('Lista de Preços'!$M53)))),"ERRO","OK"),"")</f>
        <v/>
      </c>
      <c r="E64" s="27" t="str">
        <f aca="false">IF(COUNTA('Lista de Preços'!$A53:$W53)&gt;0,IF(AND(ISNUMBER('Lista de Preços'!$L53),ISNUMBER('Lista de Preços'!$M53),'Lista de Preços'!$L53&gt;'Lista de Preços'!$M53),"ERRO","OK"),"")</f>
        <v/>
      </c>
      <c r="F64" s="27" t="str">
        <f aca="true">IF(COUNTA('Lista de Preços'!$A53:$W53)&gt;0,IF(AND('Lista de Preços'!$S53&lt;&gt;"",ISNUMBER('Lista de Preços'!$S53),'Lista de Preços'!$S53&lt;TODAY()),"ERRO","OK"),"")</f>
        <v/>
      </c>
      <c r="G64" s="27" t="str">
        <f aca="false">IF(COUNTA('Lista de Preços'!$A53:$W53)&gt;0,IF(AND('Lista de Preços'!$A53&lt;&gt;"",COUNTIF('Lista de Preços'!$A$4:$A$503,'Lista de Preços'!$A53)&gt;1),"ERRO","OK"),"")</f>
        <v/>
      </c>
      <c r="H64" s="27" t="str">
        <f aca="false">IF(COUNTA('Lista de Preços'!$A53:$W53)&gt;0,IF(AND('Lista de Preços'!$N53&lt;&gt;"",ISNUMBER('Lista de Preços'!$N53),OR('Lista de Preços'!$N53&lt;0,'Lista de Preços'!$N53&gt;0.5)),"ERRO","OK"),"")</f>
        <v/>
      </c>
      <c r="I64" s="27" t="str">
        <f aca="false">IF(COUNTA('Lista de Preços'!$A53:$W53)&gt;0,IF(OR($C64="ERRO",$D64="ERRO",$E64="ERRO",$F64="ERRO",$G64="ERRO",$H64="ERRO"),"FALHA","OK"),"")</f>
        <v/>
      </c>
    </row>
    <row r="65" customFormat="false" ht="15" hidden="false" customHeight="false" outlineLevel="0" collapsed="false">
      <c r="A65" s="26" t="n">
        <f aca="false">'Lista de Preços'!$A54</f>
        <v>0</v>
      </c>
      <c r="B65" s="26" t="n">
        <f aca="false">'Lista de Preços'!$B54</f>
        <v>0</v>
      </c>
      <c r="C65" s="27" t="str">
        <f aca="false">IF(COUNTA('Lista de Preços'!$A54:$W54)&gt;0,IF((COUNTBLANK('Lista de Preços'!$A54)+COUNTBLANK('Lista de Preços'!$B54)+COUNTBLANK('Lista de Preços'!$C54)+COUNTBLANK('Lista de Preços'!$D54)+COUNTBLANK('Lista de Preços'!$E54)+COUNTBLANK('Lista de Preços'!$F54)+COUNTBLANK('Lista de Preços'!$L54)+COUNTBLANK('Lista de Preços'!$M54)+COUNTBLANK('Lista de Preços'!$P54)+COUNTBLANK('Lista de Preços'!$U54)+COUNTBLANK('Lista de Preços'!$V54))&gt;0,"ERRO","OK"),"")</f>
        <v/>
      </c>
      <c r="D65" s="27" t="str">
        <f aca="false">IF(COUNTA('Lista de Preços'!$A54:$W54)&gt;0,IF(OR(AND('Lista de Preços'!$L54&lt;&gt;"",NOT(ISNUMBER('Lista de Preços'!$L54))),AND('Lista de Preços'!$M54&lt;&gt;"",NOT(ISNUMBER('Lista de Preços'!$M54)))),"ERRO","OK"),"")</f>
        <v/>
      </c>
      <c r="E65" s="27" t="str">
        <f aca="false">IF(COUNTA('Lista de Preços'!$A54:$W54)&gt;0,IF(AND(ISNUMBER('Lista de Preços'!$L54),ISNUMBER('Lista de Preços'!$M54),'Lista de Preços'!$L54&gt;'Lista de Preços'!$M54),"ERRO","OK"),"")</f>
        <v/>
      </c>
      <c r="F65" s="27" t="str">
        <f aca="true">IF(COUNTA('Lista de Preços'!$A54:$W54)&gt;0,IF(AND('Lista de Preços'!$S54&lt;&gt;"",ISNUMBER('Lista de Preços'!$S54),'Lista de Preços'!$S54&lt;TODAY()),"ERRO","OK"),"")</f>
        <v/>
      </c>
      <c r="G65" s="27" t="str">
        <f aca="false">IF(COUNTA('Lista de Preços'!$A54:$W54)&gt;0,IF(AND('Lista de Preços'!$A54&lt;&gt;"",COUNTIF('Lista de Preços'!$A$4:$A$503,'Lista de Preços'!$A54)&gt;1),"ERRO","OK"),"")</f>
        <v/>
      </c>
      <c r="H65" s="27" t="str">
        <f aca="false">IF(COUNTA('Lista de Preços'!$A54:$W54)&gt;0,IF(AND('Lista de Preços'!$N54&lt;&gt;"",ISNUMBER('Lista de Preços'!$N54),OR('Lista de Preços'!$N54&lt;0,'Lista de Preços'!$N54&gt;0.5)),"ERRO","OK"),"")</f>
        <v/>
      </c>
      <c r="I65" s="27" t="str">
        <f aca="false">IF(COUNTA('Lista de Preços'!$A54:$W54)&gt;0,IF(OR($C65="ERRO",$D65="ERRO",$E65="ERRO",$F65="ERRO",$G65="ERRO",$H65="ERRO"),"FALHA","OK"),"")</f>
        <v/>
      </c>
    </row>
    <row r="66" customFormat="false" ht="15" hidden="false" customHeight="false" outlineLevel="0" collapsed="false">
      <c r="A66" s="26" t="n">
        <f aca="false">'Lista de Preços'!$A55</f>
        <v>0</v>
      </c>
      <c r="B66" s="26" t="n">
        <f aca="false">'Lista de Preços'!$B55</f>
        <v>0</v>
      </c>
      <c r="C66" s="27" t="str">
        <f aca="false">IF(COUNTA('Lista de Preços'!$A55:$W55)&gt;0,IF((COUNTBLANK('Lista de Preços'!$A55)+COUNTBLANK('Lista de Preços'!$B55)+COUNTBLANK('Lista de Preços'!$C55)+COUNTBLANK('Lista de Preços'!$D55)+COUNTBLANK('Lista de Preços'!$E55)+COUNTBLANK('Lista de Preços'!$F55)+COUNTBLANK('Lista de Preços'!$L55)+COUNTBLANK('Lista de Preços'!$M55)+COUNTBLANK('Lista de Preços'!$P55)+COUNTBLANK('Lista de Preços'!$U55)+COUNTBLANK('Lista de Preços'!$V55))&gt;0,"ERRO","OK"),"")</f>
        <v/>
      </c>
      <c r="D66" s="27" t="str">
        <f aca="false">IF(COUNTA('Lista de Preços'!$A55:$W55)&gt;0,IF(OR(AND('Lista de Preços'!$L55&lt;&gt;"",NOT(ISNUMBER('Lista de Preços'!$L55))),AND('Lista de Preços'!$M55&lt;&gt;"",NOT(ISNUMBER('Lista de Preços'!$M55)))),"ERRO","OK"),"")</f>
        <v/>
      </c>
      <c r="E66" s="27" t="str">
        <f aca="false">IF(COUNTA('Lista de Preços'!$A55:$W55)&gt;0,IF(AND(ISNUMBER('Lista de Preços'!$L55),ISNUMBER('Lista de Preços'!$M55),'Lista de Preços'!$L55&gt;'Lista de Preços'!$M55),"ERRO","OK"),"")</f>
        <v/>
      </c>
      <c r="F66" s="27" t="str">
        <f aca="true">IF(COUNTA('Lista de Preços'!$A55:$W55)&gt;0,IF(AND('Lista de Preços'!$S55&lt;&gt;"",ISNUMBER('Lista de Preços'!$S55),'Lista de Preços'!$S55&lt;TODAY()),"ERRO","OK"),"")</f>
        <v/>
      </c>
      <c r="G66" s="27" t="str">
        <f aca="false">IF(COUNTA('Lista de Preços'!$A55:$W55)&gt;0,IF(AND('Lista de Preços'!$A55&lt;&gt;"",COUNTIF('Lista de Preços'!$A$4:$A$503,'Lista de Preços'!$A55)&gt;1),"ERRO","OK"),"")</f>
        <v/>
      </c>
      <c r="H66" s="27" t="str">
        <f aca="false">IF(COUNTA('Lista de Preços'!$A55:$W55)&gt;0,IF(AND('Lista de Preços'!$N55&lt;&gt;"",ISNUMBER('Lista de Preços'!$N55),OR('Lista de Preços'!$N55&lt;0,'Lista de Preços'!$N55&gt;0.5)),"ERRO","OK"),"")</f>
        <v/>
      </c>
      <c r="I66" s="27" t="str">
        <f aca="false">IF(COUNTA('Lista de Preços'!$A55:$W55)&gt;0,IF(OR($C66="ERRO",$D66="ERRO",$E66="ERRO",$F66="ERRO",$G66="ERRO",$H66="ERRO"),"FALHA","OK"),"")</f>
        <v/>
      </c>
    </row>
    <row r="67" customFormat="false" ht="15" hidden="false" customHeight="false" outlineLevel="0" collapsed="false">
      <c r="A67" s="26" t="n">
        <f aca="false">'Lista de Preços'!$A56</f>
        <v>0</v>
      </c>
      <c r="B67" s="26" t="n">
        <f aca="false">'Lista de Preços'!$B56</f>
        <v>0</v>
      </c>
      <c r="C67" s="27" t="str">
        <f aca="false">IF(COUNTA('Lista de Preços'!$A56:$W56)&gt;0,IF((COUNTBLANK('Lista de Preços'!$A56)+COUNTBLANK('Lista de Preços'!$B56)+COUNTBLANK('Lista de Preços'!$C56)+COUNTBLANK('Lista de Preços'!$D56)+COUNTBLANK('Lista de Preços'!$E56)+COUNTBLANK('Lista de Preços'!$F56)+COUNTBLANK('Lista de Preços'!$L56)+COUNTBLANK('Lista de Preços'!$M56)+COUNTBLANK('Lista de Preços'!$P56)+COUNTBLANK('Lista de Preços'!$U56)+COUNTBLANK('Lista de Preços'!$V56))&gt;0,"ERRO","OK"),"")</f>
        <v/>
      </c>
      <c r="D67" s="27" t="str">
        <f aca="false">IF(COUNTA('Lista de Preços'!$A56:$W56)&gt;0,IF(OR(AND('Lista de Preços'!$L56&lt;&gt;"",NOT(ISNUMBER('Lista de Preços'!$L56))),AND('Lista de Preços'!$M56&lt;&gt;"",NOT(ISNUMBER('Lista de Preços'!$M56)))),"ERRO","OK"),"")</f>
        <v/>
      </c>
      <c r="E67" s="27" t="str">
        <f aca="false">IF(COUNTA('Lista de Preços'!$A56:$W56)&gt;0,IF(AND(ISNUMBER('Lista de Preços'!$L56),ISNUMBER('Lista de Preços'!$M56),'Lista de Preços'!$L56&gt;'Lista de Preços'!$M56),"ERRO","OK"),"")</f>
        <v/>
      </c>
      <c r="F67" s="27" t="str">
        <f aca="true">IF(COUNTA('Lista de Preços'!$A56:$W56)&gt;0,IF(AND('Lista de Preços'!$S56&lt;&gt;"",ISNUMBER('Lista de Preços'!$S56),'Lista de Preços'!$S56&lt;TODAY()),"ERRO","OK"),"")</f>
        <v/>
      </c>
      <c r="G67" s="27" t="str">
        <f aca="false">IF(COUNTA('Lista de Preços'!$A56:$W56)&gt;0,IF(AND('Lista de Preços'!$A56&lt;&gt;"",COUNTIF('Lista de Preços'!$A$4:$A$503,'Lista de Preços'!$A56)&gt;1),"ERRO","OK"),"")</f>
        <v/>
      </c>
      <c r="H67" s="27" t="str">
        <f aca="false">IF(COUNTA('Lista de Preços'!$A56:$W56)&gt;0,IF(AND('Lista de Preços'!$N56&lt;&gt;"",ISNUMBER('Lista de Preços'!$N56),OR('Lista de Preços'!$N56&lt;0,'Lista de Preços'!$N56&gt;0.5)),"ERRO","OK"),"")</f>
        <v/>
      </c>
      <c r="I67" s="27" t="str">
        <f aca="false">IF(COUNTA('Lista de Preços'!$A56:$W56)&gt;0,IF(OR($C67="ERRO",$D67="ERRO",$E67="ERRO",$F67="ERRO",$G67="ERRO",$H67="ERRO"),"FALHA","OK"),"")</f>
        <v/>
      </c>
    </row>
    <row r="68" customFormat="false" ht="15" hidden="false" customHeight="false" outlineLevel="0" collapsed="false">
      <c r="A68" s="26" t="n">
        <f aca="false">'Lista de Preços'!$A57</f>
        <v>0</v>
      </c>
      <c r="B68" s="26" t="n">
        <f aca="false">'Lista de Preços'!$B57</f>
        <v>0</v>
      </c>
      <c r="C68" s="27" t="str">
        <f aca="false">IF(COUNTA('Lista de Preços'!$A57:$W57)&gt;0,IF((COUNTBLANK('Lista de Preços'!$A57)+COUNTBLANK('Lista de Preços'!$B57)+COUNTBLANK('Lista de Preços'!$C57)+COUNTBLANK('Lista de Preços'!$D57)+COUNTBLANK('Lista de Preços'!$E57)+COUNTBLANK('Lista de Preços'!$F57)+COUNTBLANK('Lista de Preços'!$L57)+COUNTBLANK('Lista de Preços'!$M57)+COUNTBLANK('Lista de Preços'!$P57)+COUNTBLANK('Lista de Preços'!$U57)+COUNTBLANK('Lista de Preços'!$V57))&gt;0,"ERRO","OK"),"")</f>
        <v/>
      </c>
      <c r="D68" s="27" t="str">
        <f aca="false">IF(COUNTA('Lista de Preços'!$A57:$W57)&gt;0,IF(OR(AND('Lista de Preços'!$L57&lt;&gt;"",NOT(ISNUMBER('Lista de Preços'!$L57))),AND('Lista de Preços'!$M57&lt;&gt;"",NOT(ISNUMBER('Lista de Preços'!$M57)))),"ERRO","OK"),"")</f>
        <v/>
      </c>
      <c r="E68" s="27" t="str">
        <f aca="false">IF(COUNTA('Lista de Preços'!$A57:$W57)&gt;0,IF(AND(ISNUMBER('Lista de Preços'!$L57),ISNUMBER('Lista de Preços'!$M57),'Lista de Preços'!$L57&gt;'Lista de Preços'!$M57),"ERRO","OK"),"")</f>
        <v/>
      </c>
      <c r="F68" s="27" t="str">
        <f aca="true">IF(COUNTA('Lista de Preços'!$A57:$W57)&gt;0,IF(AND('Lista de Preços'!$S57&lt;&gt;"",ISNUMBER('Lista de Preços'!$S57),'Lista de Preços'!$S57&lt;TODAY()),"ERRO","OK"),"")</f>
        <v/>
      </c>
      <c r="G68" s="27" t="str">
        <f aca="false">IF(COUNTA('Lista de Preços'!$A57:$W57)&gt;0,IF(AND('Lista de Preços'!$A57&lt;&gt;"",COUNTIF('Lista de Preços'!$A$4:$A$503,'Lista de Preços'!$A57)&gt;1),"ERRO","OK"),"")</f>
        <v/>
      </c>
      <c r="H68" s="27" t="str">
        <f aca="false">IF(COUNTA('Lista de Preços'!$A57:$W57)&gt;0,IF(AND('Lista de Preços'!$N57&lt;&gt;"",ISNUMBER('Lista de Preços'!$N57),OR('Lista de Preços'!$N57&lt;0,'Lista de Preços'!$N57&gt;0.5)),"ERRO","OK"),"")</f>
        <v/>
      </c>
      <c r="I68" s="27" t="str">
        <f aca="false">IF(COUNTA('Lista de Preços'!$A57:$W57)&gt;0,IF(OR($C68="ERRO",$D68="ERRO",$E68="ERRO",$F68="ERRO",$G68="ERRO",$H68="ERRO"),"FALHA","OK"),"")</f>
        <v/>
      </c>
    </row>
    <row r="69" customFormat="false" ht="15" hidden="false" customHeight="false" outlineLevel="0" collapsed="false">
      <c r="A69" s="26" t="n">
        <f aca="false">'Lista de Preços'!$A58</f>
        <v>0</v>
      </c>
      <c r="B69" s="26" t="n">
        <f aca="false">'Lista de Preços'!$B58</f>
        <v>0</v>
      </c>
      <c r="C69" s="27" t="str">
        <f aca="false">IF(COUNTA('Lista de Preços'!$A58:$W58)&gt;0,IF((COUNTBLANK('Lista de Preços'!$A58)+COUNTBLANK('Lista de Preços'!$B58)+COUNTBLANK('Lista de Preços'!$C58)+COUNTBLANK('Lista de Preços'!$D58)+COUNTBLANK('Lista de Preços'!$E58)+COUNTBLANK('Lista de Preços'!$F58)+COUNTBLANK('Lista de Preços'!$L58)+COUNTBLANK('Lista de Preços'!$M58)+COUNTBLANK('Lista de Preços'!$P58)+COUNTBLANK('Lista de Preços'!$U58)+COUNTBLANK('Lista de Preços'!$V58))&gt;0,"ERRO","OK"),"")</f>
        <v/>
      </c>
      <c r="D69" s="27" t="str">
        <f aca="false">IF(COUNTA('Lista de Preços'!$A58:$W58)&gt;0,IF(OR(AND('Lista de Preços'!$L58&lt;&gt;"",NOT(ISNUMBER('Lista de Preços'!$L58))),AND('Lista de Preços'!$M58&lt;&gt;"",NOT(ISNUMBER('Lista de Preços'!$M58)))),"ERRO","OK"),"")</f>
        <v/>
      </c>
      <c r="E69" s="27" t="str">
        <f aca="false">IF(COUNTA('Lista de Preços'!$A58:$W58)&gt;0,IF(AND(ISNUMBER('Lista de Preços'!$L58),ISNUMBER('Lista de Preços'!$M58),'Lista de Preços'!$L58&gt;'Lista de Preços'!$M58),"ERRO","OK"),"")</f>
        <v/>
      </c>
      <c r="F69" s="27" t="str">
        <f aca="true">IF(COUNTA('Lista de Preços'!$A58:$W58)&gt;0,IF(AND('Lista de Preços'!$S58&lt;&gt;"",ISNUMBER('Lista de Preços'!$S58),'Lista de Preços'!$S58&lt;TODAY()),"ERRO","OK"),"")</f>
        <v/>
      </c>
      <c r="G69" s="27" t="str">
        <f aca="false">IF(COUNTA('Lista de Preços'!$A58:$W58)&gt;0,IF(AND('Lista de Preços'!$A58&lt;&gt;"",COUNTIF('Lista de Preços'!$A$4:$A$503,'Lista de Preços'!$A58)&gt;1),"ERRO","OK"),"")</f>
        <v/>
      </c>
      <c r="H69" s="27" t="str">
        <f aca="false">IF(COUNTA('Lista de Preços'!$A58:$W58)&gt;0,IF(AND('Lista de Preços'!$N58&lt;&gt;"",ISNUMBER('Lista de Preços'!$N58),OR('Lista de Preços'!$N58&lt;0,'Lista de Preços'!$N58&gt;0.5)),"ERRO","OK"),"")</f>
        <v/>
      </c>
      <c r="I69" s="27" t="str">
        <f aca="false">IF(COUNTA('Lista de Preços'!$A58:$W58)&gt;0,IF(OR($C69="ERRO",$D69="ERRO",$E69="ERRO",$F69="ERRO",$G69="ERRO",$H69="ERRO"),"FALHA","OK"),"")</f>
        <v/>
      </c>
    </row>
    <row r="70" customFormat="false" ht="15" hidden="false" customHeight="false" outlineLevel="0" collapsed="false">
      <c r="A70" s="26" t="n">
        <f aca="false">'Lista de Preços'!$A59</f>
        <v>0</v>
      </c>
      <c r="B70" s="26" t="n">
        <f aca="false">'Lista de Preços'!$B59</f>
        <v>0</v>
      </c>
      <c r="C70" s="27" t="str">
        <f aca="false">IF(COUNTA('Lista de Preços'!$A59:$W59)&gt;0,IF((COUNTBLANK('Lista de Preços'!$A59)+COUNTBLANK('Lista de Preços'!$B59)+COUNTBLANK('Lista de Preços'!$C59)+COUNTBLANK('Lista de Preços'!$D59)+COUNTBLANK('Lista de Preços'!$E59)+COUNTBLANK('Lista de Preços'!$F59)+COUNTBLANK('Lista de Preços'!$L59)+COUNTBLANK('Lista de Preços'!$M59)+COUNTBLANK('Lista de Preços'!$P59)+COUNTBLANK('Lista de Preços'!$U59)+COUNTBLANK('Lista de Preços'!$V59))&gt;0,"ERRO","OK"),"")</f>
        <v/>
      </c>
      <c r="D70" s="27" t="str">
        <f aca="false">IF(COUNTA('Lista de Preços'!$A59:$W59)&gt;0,IF(OR(AND('Lista de Preços'!$L59&lt;&gt;"",NOT(ISNUMBER('Lista de Preços'!$L59))),AND('Lista de Preços'!$M59&lt;&gt;"",NOT(ISNUMBER('Lista de Preços'!$M59)))),"ERRO","OK"),"")</f>
        <v/>
      </c>
      <c r="E70" s="27" t="str">
        <f aca="false">IF(COUNTA('Lista de Preços'!$A59:$W59)&gt;0,IF(AND(ISNUMBER('Lista de Preços'!$L59),ISNUMBER('Lista de Preços'!$M59),'Lista de Preços'!$L59&gt;'Lista de Preços'!$M59),"ERRO","OK"),"")</f>
        <v/>
      </c>
      <c r="F70" s="27" t="str">
        <f aca="true">IF(COUNTA('Lista de Preços'!$A59:$W59)&gt;0,IF(AND('Lista de Preços'!$S59&lt;&gt;"",ISNUMBER('Lista de Preços'!$S59),'Lista de Preços'!$S59&lt;TODAY()),"ERRO","OK"),"")</f>
        <v/>
      </c>
      <c r="G70" s="27" t="str">
        <f aca="false">IF(COUNTA('Lista de Preços'!$A59:$W59)&gt;0,IF(AND('Lista de Preços'!$A59&lt;&gt;"",COUNTIF('Lista de Preços'!$A$4:$A$503,'Lista de Preços'!$A59)&gt;1),"ERRO","OK"),"")</f>
        <v/>
      </c>
      <c r="H70" s="27" t="str">
        <f aca="false">IF(COUNTA('Lista de Preços'!$A59:$W59)&gt;0,IF(AND('Lista de Preços'!$N59&lt;&gt;"",ISNUMBER('Lista de Preços'!$N59),OR('Lista de Preços'!$N59&lt;0,'Lista de Preços'!$N59&gt;0.5)),"ERRO","OK"),"")</f>
        <v/>
      </c>
      <c r="I70" s="27" t="str">
        <f aca="false">IF(COUNTA('Lista de Preços'!$A59:$W59)&gt;0,IF(OR($C70="ERRO",$D70="ERRO",$E70="ERRO",$F70="ERRO",$G70="ERRO",$H70="ERRO"),"FALHA","OK"),"")</f>
        <v/>
      </c>
    </row>
    <row r="71" customFormat="false" ht="15" hidden="false" customHeight="false" outlineLevel="0" collapsed="false">
      <c r="A71" s="26" t="n">
        <f aca="false">'Lista de Preços'!$A60</f>
        <v>0</v>
      </c>
      <c r="B71" s="26" t="n">
        <f aca="false">'Lista de Preços'!$B60</f>
        <v>0</v>
      </c>
      <c r="C71" s="27" t="str">
        <f aca="false">IF(COUNTA('Lista de Preços'!$A60:$W60)&gt;0,IF((COUNTBLANK('Lista de Preços'!$A60)+COUNTBLANK('Lista de Preços'!$B60)+COUNTBLANK('Lista de Preços'!$C60)+COUNTBLANK('Lista de Preços'!$D60)+COUNTBLANK('Lista de Preços'!$E60)+COUNTBLANK('Lista de Preços'!$F60)+COUNTBLANK('Lista de Preços'!$L60)+COUNTBLANK('Lista de Preços'!$M60)+COUNTBLANK('Lista de Preços'!$P60)+COUNTBLANK('Lista de Preços'!$U60)+COUNTBLANK('Lista de Preços'!$V60))&gt;0,"ERRO","OK"),"")</f>
        <v/>
      </c>
      <c r="D71" s="27" t="str">
        <f aca="false">IF(COUNTA('Lista de Preços'!$A60:$W60)&gt;0,IF(OR(AND('Lista de Preços'!$L60&lt;&gt;"",NOT(ISNUMBER('Lista de Preços'!$L60))),AND('Lista de Preços'!$M60&lt;&gt;"",NOT(ISNUMBER('Lista de Preços'!$M60)))),"ERRO","OK"),"")</f>
        <v/>
      </c>
      <c r="E71" s="27" t="str">
        <f aca="false">IF(COUNTA('Lista de Preços'!$A60:$W60)&gt;0,IF(AND(ISNUMBER('Lista de Preços'!$L60),ISNUMBER('Lista de Preços'!$M60),'Lista de Preços'!$L60&gt;'Lista de Preços'!$M60),"ERRO","OK"),"")</f>
        <v/>
      </c>
      <c r="F71" s="27" t="str">
        <f aca="true">IF(COUNTA('Lista de Preços'!$A60:$W60)&gt;0,IF(AND('Lista de Preços'!$S60&lt;&gt;"",ISNUMBER('Lista de Preços'!$S60),'Lista de Preços'!$S60&lt;TODAY()),"ERRO","OK"),"")</f>
        <v/>
      </c>
      <c r="G71" s="27" t="str">
        <f aca="false">IF(COUNTA('Lista de Preços'!$A60:$W60)&gt;0,IF(AND('Lista de Preços'!$A60&lt;&gt;"",COUNTIF('Lista de Preços'!$A$4:$A$503,'Lista de Preços'!$A60)&gt;1),"ERRO","OK"),"")</f>
        <v/>
      </c>
      <c r="H71" s="27" t="str">
        <f aca="false">IF(COUNTA('Lista de Preços'!$A60:$W60)&gt;0,IF(AND('Lista de Preços'!$N60&lt;&gt;"",ISNUMBER('Lista de Preços'!$N60),OR('Lista de Preços'!$N60&lt;0,'Lista de Preços'!$N60&gt;0.5)),"ERRO","OK"),"")</f>
        <v/>
      </c>
      <c r="I71" s="27" t="str">
        <f aca="false">IF(COUNTA('Lista de Preços'!$A60:$W60)&gt;0,IF(OR($C71="ERRO",$D71="ERRO",$E71="ERRO",$F71="ERRO",$G71="ERRO",$H71="ERRO"),"FALHA","OK"),"")</f>
        <v/>
      </c>
    </row>
    <row r="72" customFormat="false" ht="15" hidden="false" customHeight="false" outlineLevel="0" collapsed="false">
      <c r="A72" s="26" t="n">
        <f aca="false">'Lista de Preços'!$A61</f>
        <v>0</v>
      </c>
      <c r="B72" s="26" t="n">
        <f aca="false">'Lista de Preços'!$B61</f>
        <v>0</v>
      </c>
      <c r="C72" s="27" t="str">
        <f aca="false">IF(COUNTA('Lista de Preços'!$A61:$W61)&gt;0,IF((COUNTBLANK('Lista de Preços'!$A61)+COUNTBLANK('Lista de Preços'!$B61)+COUNTBLANK('Lista de Preços'!$C61)+COUNTBLANK('Lista de Preços'!$D61)+COUNTBLANK('Lista de Preços'!$E61)+COUNTBLANK('Lista de Preços'!$F61)+COUNTBLANK('Lista de Preços'!$L61)+COUNTBLANK('Lista de Preços'!$M61)+COUNTBLANK('Lista de Preços'!$P61)+COUNTBLANK('Lista de Preços'!$U61)+COUNTBLANK('Lista de Preços'!$V61))&gt;0,"ERRO","OK"),"")</f>
        <v/>
      </c>
      <c r="D72" s="27" t="str">
        <f aca="false">IF(COUNTA('Lista de Preços'!$A61:$W61)&gt;0,IF(OR(AND('Lista de Preços'!$L61&lt;&gt;"",NOT(ISNUMBER('Lista de Preços'!$L61))),AND('Lista de Preços'!$M61&lt;&gt;"",NOT(ISNUMBER('Lista de Preços'!$M61)))),"ERRO","OK"),"")</f>
        <v/>
      </c>
      <c r="E72" s="27" t="str">
        <f aca="false">IF(COUNTA('Lista de Preços'!$A61:$W61)&gt;0,IF(AND(ISNUMBER('Lista de Preços'!$L61),ISNUMBER('Lista de Preços'!$M61),'Lista de Preços'!$L61&gt;'Lista de Preços'!$M61),"ERRO","OK"),"")</f>
        <v/>
      </c>
      <c r="F72" s="27" t="str">
        <f aca="true">IF(COUNTA('Lista de Preços'!$A61:$W61)&gt;0,IF(AND('Lista de Preços'!$S61&lt;&gt;"",ISNUMBER('Lista de Preços'!$S61),'Lista de Preços'!$S61&lt;TODAY()),"ERRO","OK"),"")</f>
        <v/>
      </c>
      <c r="G72" s="27" t="str">
        <f aca="false">IF(COUNTA('Lista de Preços'!$A61:$W61)&gt;0,IF(AND('Lista de Preços'!$A61&lt;&gt;"",COUNTIF('Lista de Preços'!$A$4:$A$503,'Lista de Preços'!$A61)&gt;1),"ERRO","OK"),"")</f>
        <v/>
      </c>
      <c r="H72" s="27" t="str">
        <f aca="false">IF(COUNTA('Lista de Preços'!$A61:$W61)&gt;0,IF(AND('Lista de Preços'!$N61&lt;&gt;"",ISNUMBER('Lista de Preços'!$N61),OR('Lista de Preços'!$N61&lt;0,'Lista de Preços'!$N61&gt;0.5)),"ERRO","OK"),"")</f>
        <v/>
      </c>
      <c r="I72" s="27" t="str">
        <f aca="false">IF(COUNTA('Lista de Preços'!$A61:$W61)&gt;0,IF(OR($C72="ERRO",$D72="ERRO",$E72="ERRO",$F72="ERRO",$G72="ERRO",$H72="ERRO"),"FALHA","OK"),"")</f>
        <v/>
      </c>
    </row>
    <row r="73" customFormat="false" ht="15" hidden="false" customHeight="false" outlineLevel="0" collapsed="false">
      <c r="A73" s="26" t="n">
        <f aca="false">'Lista de Preços'!$A62</f>
        <v>0</v>
      </c>
      <c r="B73" s="26" t="n">
        <f aca="false">'Lista de Preços'!$B62</f>
        <v>0</v>
      </c>
      <c r="C73" s="27" t="str">
        <f aca="false">IF(COUNTA('Lista de Preços'!$A62:$W62)&gt;0,IF((COUNTBLANK('Lista de Preços'!$A62)+COUNTBLANK('Lista de Preços'!$B62)+COUNTBLANK('Lista de Preços'!$C62)+COUNTBLANK('Lista de Preços'!$D62)+COUNTBLANK('Lista de Preços'!$E62)+COUNTBLANK('Lista de Preços'!$F62)+COUNTBLANK('Lista de Preços'!$L62)+COUNTBLANK('Lista de Preços'!$M62)+COUNTBLANK('Lista de Preços'!$P62)+COUNTBLANK('Lista de Preços'!$U62)+COUNTBLANK('Lista de Preços'!$V62))&gt;0,"ERRO","OK"),"")</f>
        <v/>
      </c>
      <c r="D73" s="27" t="str">
        <f aca="false">IF(COUNTA('Lista de Preços'!$A62:$W62)&gt;0,IF(OR(AND('Lista de Preços'!$L62&lt;&gt;"",NOT(ISNUMBER('Lista de Preços'!$L62))),AND('Lista de Preços'!$M62&lt;&gt;"",NOT(ISNUMBER('Lista de Preços'!$M62)))),"ERRO","OK"),"")</f>
        <v/>
      </c>
      <c r="E73" s="27" t="str">
        <f aca="false">IF(COUNTA('Lista de Preços'!$A62:$W62)&gt;0,IF(AND(ISNUMBER('Lista de Preços'!$L62),ISNUMBER('Lista de Preços'!$M62),'Lista de Preços'!$L62&gt;'Lista de Preços'!$M62),"ERRO","OK"),"")</f>
        <v/>
      </c>
      <c r="F73" s="27" t="str">
        <f aca="true">IF(COUNTA('Lista de Preços'!$A62:$W62)&gt;0,IF(AND('Lista de Preços'!$S62&lt;&gt;"",ISNUMBER('Lista de Preços'!$S62),'Lista de Preços'!$S62&lt;TODAY()),"ERRO","OK"),"")</f>
        <v/>
      </c>
      <c r="G73" s="27" t="str">
        <f aca="false">IF(COUNTA('Lista de Preços'!$A62:$W62)&gt;0,IF(AND('Lista de Preços'!$A62&lt;&gt;"",COUNTIF('Lista de Preços'!$A$4:$A$503,'Lista de Preços'!$A62)&gt;1),"ERRO","OK"),"")</f>
        <v/>
      </c>
      <c r="H73" s="27" t="str">
        <f aca="false">IF(COUNTA('Lista de Preços'!$A62:$W62)&gt;0,IF(AND('Lista de Preços'!$N62&lt;&gt;"",ISNUMBER('Lista de Preços'!$N62),OR('Lista de Preços'!$N62&lt;0,'Lista de Preços'!$N62&gt;0.5)),"ERRO","OK"),"")</f>
        <v/>
      </c>
      <c r="I73" s="27" t="str">
        <f aca="false">IF(COUNTA('Lista de Preços'!$A62:$W62)&gt;0,IF(OR($C73="ERRO",$D73="ERRO",$E73="ERRO",$F73="ERRO",$G73="ERRO",$H73="ERRO"),"FALHA","OK"),"")</f>
        <v/>
      </c>
    </row>
    <row r="74" customFormat="false" ht="15" hidden="false" customHeight="false" outlineLevel="0" collapsed="false">
      <c r="A74" s="26" t="n">
        <f aca="false">'Lista de Preços'!$A63</f>
        <v>0</v>
      </c>
      <c r="B74" s="26" t="n">
        <f aca="false">'Lista de Preços'!$B63</f>
        <v>0</v>
      </c>
      <c r="C74" s="27" t="str">
        <f aca="false">IF(COUNTA('Lista de Preços'!$A63:$W63)&gt;0,IF((COUNTBLANK('Lista de Preços'!$A63)+COUNTBLANK('Lista de Preços'!$B63)+COUNTBLANK('Lista de Preços'!$C63)+COUNTBLANK('Lista de Preços'!$D63)+COUNTBLANK('Lista de Preços'!$E63)+COUNTBLANK('Lista de Preços'!$F63)+COUNTBLANK('Lista de Preços'!$L63)+COUNTBLANK('Lista de Preços'!$M63)+COUNTBLANK('Lista de Preços'!$P63)+COUNTBLANK('Lista de Preços'!$U63)+COUNTBLANK('Lista de Preços'!$V63))&gt;0,"ERRO","OK"),"")</f>
        <v/>
      </c>
      <c r="D74" s="27" t="str">
        <f aca="false">IF(COUNTA('Lista de Preços'!$A63:$W63)&gt;0,IF(OR(AND('Lista de Preços'!$L63&lt;&gt;"",NOT(ISNUMBER('Lista de Preços'!$L63))),AND('Lista de Preços'!$M63&lt;&gt;"",NOT(ISNUMBER('Lista de Preços'!$M63)))),"ERRO","OK"),"")</f>
        <v/>
      </c>
      <c r="E74" s="27" t="str">
        <f aca="false">IF(COUNTA('Lista de Preços'!$A63:$W63)&gt;0,IF(AND(ISNUMBER('Lista de Preços'!$L63),ISNUMBER('Lista de Preços'!$M63),'Lista de Preços'!$L63&gt;'Lista de Preços'!$M63),"ERRO","OK"),"")</f>
        <v/>
      </c>
      <c r="F74" s="27" t="str">
        <f aca="true">IF(COUNTA('Lista de Preços'!$A63:$W63)&gt;0,IF(AND('Lista de Preços'!$S63&lt;&gt;"",ISNUMBER('Lista de Preços'!$S63),'Lista de Preços'!$S63&lt;TODAY()),"ERRO","OK"),"")</f>
        <v/>
      </c>
      <c r="G74" s="27" t="str">
        <f aca="false">IF(COUNTA('Lista de Preços'!$A63:$W63)&gt;0,IF(AND('Lista de Preços'!$A63&lt;&gt;"",COUNTIF('Lista de Preços'!$A$4:$A$503,'Lista de Preços'!$A63)&gt;1),"ERRO","OK"),"")</f>
        <v/>
      </c>
      <c r="H74" s="27" t="str">
        <f aca="false">IF(COUNTA('Lista de Preços'!$A63:$W63)&gt;0,IF(AND('Lista de Preços'!$N63&lt;&gt;"",ISNUMBER('Lista de Preços'!$N63),OR('Lista de Preços'!$N63&lt;0,'Lista de Preços'!$N63&gt;0.5)),"ERRO","OK"),"")</f>
        <v/>
      </c>
      <c r="I74" s="27" t="str">
        <f aca="false">IF(COUNTA('Lista de Preços'!$A63:$W63)&gt;0,IF(OR($C74="ERRO",$D74="ERRO",$E74="ERRO",$F74="ERRO",$G74="ERRO",$H74="ERRO"),"FALHA","OK"),"")</f>
        <v/>
      </c>
    </row>
    <row r="75" customFormat="false" ht="15" hidden="false" customHeight="false" outlineLevel="0" collapsed="false">
      <c r="A75" s="26" t="n">
        <f aca="false">'Lista de Preços'!$A64</f>
        <v>0</v>
      </c>
      <c r="B75" s="26" t="n">
        <f aca="false">'Lista de Preços'!$B64</f>
        <v>0</v>
      </c>
      <c r="C75" s="27" t="str">
        <f aca="false">IF(COUNTA('Lista de Preços'!$A64:$W64)&gt;0,IF((COUNTBLANK('Lista de Preços'!$A64)+COUNTBLANK('Lista de Preços'!$B64)+COUNTBLANK('Lista de Preços'!$C64)+COUNTBLANK('Lista de Preços'!$D64)+COUNTBLANK('Lista de Preços'!$E64)+COUNTBLANK('Lista de Preços'!$F64)+COUNTBLANK('Lista de Preços'!$L64)+COUNTBLANK('Lista de Preços'!$M64)+COUNTBLANK('Lista de Preços'!$P64)+COUNTBLANK('Lista de Preços'!$U64)+COUNTBLANK('Lista de Preços'!$V64))&gt;0,"ERRO","OK"),"")</f>
        <v/>
      </c>
      <c r="D75" s="27" t="str">
        <f aca="false">IF(COUNTA('Lista de Preços'!$A64:$W64)&gt;0,IF(OR(AND('Lista de Preços'!$L64&lt;&gt;"",NOT(ISNUMBER('Lista de Preços'!$L64))),AND('Lista de Preços'!$M64&lt;&gt;"",NOT(ISNUMBER('Lista de Preços'!$M64)))),"ERRO","OK"),"")</f>
        <v/>
      </c>
      <c r="E75" s="27" t="str">
        <f aca="false">IF(COUNTA('Lista de Preços'!$A64:$W64)&gt;0,IF(AND(ISNUMBER('Lista de Preços'!$L64),ISNUMBER('Lista de Preços'!$M64),'Lista de Preços'!$L64&gt;'Lista de Preços'!$M64),"ERRO","OK"),"")</f>
        <v/>
      </c>
      <c r="F75" s="27" t="str">
        <f aca="true">IF(COUNTA('Lista de Preços'!$A64:$W64)&gt;0,IF(AND('Lista de Preços'!$S64&lt;&gt;"",ISNUMBER('Lista de Preços'!$S64),'Lista de Preços'!$S64&lt;TODAY()),"ERRO","OK"),"")</f>
        <v/>
      </c>
      <c r="G75" s="27" t="str">
        <f aca="false">IF(COUNTA('Lista de Preços'!$A64:$W64)&gt;0,IF(AND('Lista de Preços'!$A64&lt;&gt;"",COUNTIF('Lista de Preços'!$A$4:$A$503,'Lista de Preços'!$A64)&gt;1),"ERRO","OK"),"")</f>
        <v/>
      </c>
      <c r="H75" s="27" t="str">
        <f aca="false">IF(COUNTA('Lista de Preços'!$A64:$W64)&gt;0,IF(AND('Lista de Preços'!$N64&lt;&gt;"",ISNUMBER('Lista de Preços'!$N64),OR('Lista de Preços'!$N64&lt;0,'Lista de Preços'!$N64&gt;0.5)),"ERRO","OK"),"")</f>
        <v/>
      </c>
      <c r="I75" s="27" t="str">
        <f aca="false">IF(COUNTA('Lista de Preços'!$A64:$W64)&gt;0,IF(OR($C75="ERRO",$D75="ERRO",$E75="ERRO",$F75="ERRO",$G75="ERRO",$H75="ERRO"),"FALHA","OK"),"")</f>
        <v/>
      </c>
    </row>
    <row r="76" customFormat="false" ht="15" hidden="false" customHeight="false" outlineLevel="0" collapsed="false">
      <c r="A76" s="26" t="n">
        <f aca="false">'Lista de Preços'!$A65</f>
        <v>0</v>
      </c>
      <c r="B76" s="26" t="n">
        <f aca="false">'Lista de Preços'!$B65</f>
        <v>0</v>
      </c>
      <c r="C76" s="27" t="str">
        <f aca="false">IF(COUNTA('Lista de Preços'!$A65:$W65)&gt;0,IF((COUNTBLANK('Lista de Preços'!$A65)+COUNTBLANK('Lista de Preços'!$B65)+COUNTBLANK('Lista de Preços'!$C65)+COUNTBLANK('Lista de Preços'!$D65)+COUNTBLANK('Lista de Preços'!$E65)+COUNTBLANK('Lista de Preços'!$F65)+COUNTBLANK('Lista de Preços'!$L65)+COUNTBLANK('Lista de Preços'!$M65)+COUNTBLANK('Lista de Preços'!$P65)+COUNTBLANK('Lista de Preços'!$U65)+COUNTBLANK('Lista de Preços'!$V65))&gt;0,"ERRO","OK"),"")</f>
        <v/>
      </c>
      <c r="D76" s="27" t="str">
        <f aca="false">IF(COUNTA('Lista de Preços'!$A65:$W65)&gt;0,IF(OR(AND('Lista de Preços'!$L65&lt;&gt;"",NOT(ISNUMBER('Lista de Preços'!$L65))),AND('Lista de Preços'!$M65&lt;&gt;"",NOT(ISNUMBER('Lista de Preços'!$M65)))),"ERRO","OK"),"")</f>
        <v/>
      </c>
      <c r="E76" s="27" t="str">
        <f aca="false">IF(COUNTA('Lista de Preços'!$A65:$W65)&gt;0,IF(AND(ISNUMBER('Lista de Preços'!$L65),ISNUMBER('Lista de Preços'!$M65),'Lista de Preços'!$L65&gt;'Lista de Preços'!$M65),"ERRO","OK"),"")</f>
        <v/>
      </c>
      <c r="F76" s="27" t="str">
        <f aca="true">IF(COUNTA('Lista de Preços'!$A65:$W65)&gt;0,IF(AND('Lista de Preços'!$S65&lt;&gt;"",ISNUMBER('Lista de Preços'!$S65),'Lista de Preços'!$S65&lt;TODAY()),"ERRO","OK"),"")</f>
        <v/>
      </c>
      <c r="G76" s="27" t="str">
        <f aca="false">IF(COUNTA('Lista de Preços'!$A65:$W65)&gt;0,IF(AND('Lista de Preços'!$A65&lt;&gt;"",COUNTIF('Lista de Preços'!$A$4:$A$503,'Lista de Preços'!$A65)&gt;1),"ERRO","OK"),"")</f>
        <v/>
      </c>
      <c r="H76" s="27" t="str">
        <f aca="false">IF(COUNTA('Lista de Preços'!$A65:$W65)&gt;0,IF(AND('Lista de Preços'!$N65&lt;&gt;"",ISNUMBER('Lista de Preços'!$N65),OR('Lista de Preços'!$N65&lt;0,'Lista de Preços'!$N65&gt;0.5)),"ERRO","OK"),"")</f>
        <v/>
      </c>
      <c r="I76" s="27" t="str">
        <f aca="false">IF(COUNTA('Lista de Preços'!$A65:$W65)&gt;0,IF(OR($C76="ERRO",$D76="ERRO",$E76="ERRO",$F76="ERRO",$G76="ERRO",$H76="ERRO"),"FALHA","OK"),"")</f>
        <v/>
      </c>
    </row>
    <row r="77" customFormat="false" ht="15" hidden="false" customHeight="false" outlineLevel="0" collapsed="false">
      <c r="A77" s="26" t="n">
        <f aca="false">'Lista de Preços'!$A66</f>
        <v>0</v>
      </c>
      <c r="B77" s="26" t="n">
        <f aca="false">'Lista de Preços'!$B66</f>
        <v>0</v>
      </c>
      <c r="C77" s="27" t="str">
        <f aca="false">IF(COUNTA('Lista de Preços'!$A66:$W66)&gt;0,IF((COUNTBLANK('Lista de Preços'!$A66)+COUNTBLANK('Lista de Preços'!$B66)+COUNTBLANK('Lista de Preços'!$C66)+COUNTBLANK('Lista de Preços'!$D66)+COUNTBLANK('Lista de Preços'!$E66)+COUNTBLANK('Lista de Preços'!$F66)+COUNTBLANK('Lista de Preços'!$L66)+COUNTBLANK('Lista de Preços'!$M66)+COUNTBLANK('Lista de Preços'!$P66)+COUNTBLANK('Lista de Preços'!$U66)+COUNTBLANK('Lista de Preços'!$V66))&gt;0,"ERRO","OK"),"")</f>
        <v/>
      </c>
      <c r="D77" s="27" t="str">
        <f aca="false">IF(COUNTA('Lista de Preços'!$A66:$W66)&gt;0,IF(OR(AND('Lista de Preços'!$L66&lt;&gt;"",NOT(ISNUMBER('Lista de Preços'!$L66))),AND('Lista de Preços'!$M66&lt;&gt;"",NOT(ISNUMBER('Lista de Preços'!$M66)))),"ERRO","OK"),"")</f>
        <v/>
      </c>
      <c r="E77" s="27" t="str">
        <f aca="false">IF(COUNTA('Lista de Preços'!$A66:$W66)&gt;0,IF(AND(ISNUMBER('Lista de Preços'!$L66),ISNUMBER('Lista de Preços'!$M66),'Lista de Preços'!$L66&gt;'Lista de Preços'!$M66),"ERRO","OK"),"")</f>
        <v/>
      </c>
      <c r="F77" s="27" t="str">
        <f aca="true">IF(COUNTA('Lista de Preços'!$A66:$W66)&gt;0,IF(AND('Lista de Preços'!$S66&lt;&gt;"",ISNUMBER('Lista de Preços'!$S66),'Lista de Preços'!$S66&lt;TODAY()),"ERRO","OK"),"")</f>
        <v/>
      </c>
      <c r="G77" s="27" t="str">
        <f aca="false">IF(COUNTA('Lista de Preços'!$A66:$W66)&gt;0,IF(AND('Lista de Preços'!$A66&lt;&gt;"",COUNTIF('Lista de Preços'!$A$4:$A$503,'Lista de Preços'!$A66)&gt;1),"ERRO","OK"),"")</f>
        <v/>
      </c>
      <c r="H77" s="27" t="str">
        <f aca="false">IF(COUNTA('Lista de Preços'!$A66:$W66)&gt;0,IF(AND('Lista de Preços'!$N66&lt;&gt;"",ISNUMBER('Lista de Preços'!$N66),OR('Lista de Preços'!$N66&lt;0,'Lista de Preços'!$N66&gt;0.5)),"ERRO","OK"),"")</f>
        <v/>
      </c>
      <c r="I77" s="27" t="str">
        <f aca="false">IF(COUNTA('Lista de Preços'!$A66:$W66)&gt;0,IF(OR($C77="ERRO",$D77="ERRO",$E77="ERRO",$F77="ERRO",$G77="ERRO",$H77="ERRO"),"FALHA","OK"),"")</f>
        <v/>
      </c>
    </row>
    <row r="78" customFormat="false" ht="15" hidden="false" customHeight="false" outlineLevel="0" collapsed="false">
      <c r="A78" s="26" t="n">
        <f aca="false">'Lista de Preços'!$A67</f>
        <v>0</v>
      </c>
      <c r="B78" s="26" t="n">
        <f aca="false">'Lista de Preços'!$B67</f>
        <v>0</v>
      </c>
      <c r="C78" s="27" t="str">
        <f aca="false">IF(COUNTA('Lista de Preços'!$A67:$W67)&gt;0,IF((COUNTBLANK('Lista de Preços'!$A67)+COUNTBLANK('Lista de Preços'!$B67)+COUNTBLANK('Lista de Preços'!$C67)+COUNTBLANK('Lista de Preços'!$D67)+COUNTBLANK('Lista de Preços'!$E67)+COUNTBLANK('Lista de Preços'!$F67)+COUNTBLANK('Lista de Preços'!$L67)+COUNTBLANK('Lista de Preços'!$M67)+COUNTBLANK('Lista de Preços'!$P67)+COUNTBLANK('Lista de Preços'!$U67)+COUNTBLANK('Lista de Preços'!$V67))&gt;0,"ERRO","OK"),"")</f>
        <v/>
      </c>
      <c r="D78" s="27" t="str">
        <f aca="false">IF(COUNTA('Lista de Preços'!$A67:$W67)&gt;0,IF(OR(AND('Lista de Preços'!$L67&lt;&gt;"",NOT(ISNUMBER('Lista de Preços'!$L67))),AND('Lista de Preços'!$M67&lt;&gt;"",NOT(ISNUMBER('Lista de Preços'!$M67)))),"ERRO","OK"),"")</f>
        <v/>
      </c>
      <c r="E78" s="27" t="str">
        <f aca="false">IF(COUNTA('Lista de Preços'!$A67:$W67)&gt;0,IF(AND(ISNUMBER('Lista de Preços'!$L67),ISNUMBER('Lista de Preços'!$M67),'Lista de Preços'!$L67&gt;'Lista de Preços'!$M67),"ERRO","OK"),"")</f>
        <v/>
      </c>
      <c r="F78" s="27" t="str">
        <f aca="true">IF(COUNTA('Lista de Preços'!$A67:$W67)&gt;0,IF(AND('Lista de Preços'!$S67&lt;&gt;"",ISNUMBER('Lista de Preços'!$S67),'Lista de Preços'!$S67&lt;TODAY()),"ERRO","OK"),"")</f>
        <v/>
      </c>
      <c r="G78" s="27" t="str">
        <f aca="false">IF(COUNTA('Lista de Preços'!$A67:$W67)&gt;0,IF(AND('Lista de Preços'!$A67&lt;&gt;"",COUNTIF('Lista de Preços'!$A$4:$A$503,'Lista de Preços'!$A67)&gt;1),"ERRO","OK"),"")</f>
        <v/>
      </c>
      <c r="H78" s="27" t="str">
        <f aca="false">IF(COUNTA('Lista de Preços'!$A67:$W67)&gt;0,IF(AND('Lista de Preços'!$N67&lt;&gt;"",ISNUMBER('Lista de Preços'!$N67),OR('Lista de Preços'!$N67&lt;0,'Lista de Preços'!$N67&gt;0.5)),"ERRO","OK"),"")</f>
        <v/>
      </c>
      <c r="I78" s="27" t="str">
        <f aca="false">IF(COUNTA('Lista de Preços'!$A67:$W67)&gt;0,IF(OR($C78="ERRO",$D78="ERRO",$E78="ERRO",$F78="ERRO",$G78="ERRO",$H78="ERRO"),"FALHA","OK"),"")</f>
        <v/>
      </c>
    </row>
    <row r="79" customFormat="false" ht="15" hidden="false" customHeight="false" outlineLevel="0" collapsed="false">
      <c r="A79" s="26" t="n">
        <f aca="false">'Lista de Preços'!$A68</f>
        <v>0</v>
      </c>
      <c r="B79" s="26" t="n">
        <f aca="false">'Lista de Preços'!$B68</f>
        <v>0</v>
      </c>
      <c r="C79" s="27" t="str">
        <f aca="false">IF(COUNTA('Lista de Preços'!$A68:$W68)&gt;0,IF((COUNTBLANK('Lista de Preços'!$A68)+COUNTBLANK('Lista de Preços'!$B68)+COUNTBLANK('Lista de Preços'!$C68)+COUNTBLANK('Lista de Preços'!$D68)+COUNTBLANK('Lista de Preços'!$E68)+COUNTBLANK('Lista de Preços'!$F68)+COUNTBLANK('Lista de Preços'!$L68)+COUNTBLANK('Lista de Preços'!$M68)+COUNTBLANK('Lista de Preços'!$P68)+COUNTBLANK('Lista de Preços'!$U68)+COUNTBLANK('Lista de Preços'!$V68))&gt;0,"ERRO","OK"),"")</f>
        <v/>
      </c>
      <c r="D79" s="27" t="str">
        <f aca="false">IF(COUNTA('Lista de Preços'!$A68:$W68)&gt;0,IF(OR(AND('Lista de Preços'!$L68&lt;&gt;"",NOT(ISNUMBER('Lista de Preços'!$L68))),AND('Lista de Preços'!$M68&lt;&gt;"",NOT(ISNUMBER('Lista de Preços'!$M68)))),"ERRO","OK"),"")</f>
        <v/>
      </c>
      <c r="E79" s="27" t="str">
        <f aca="false">IF(COUNTA('Lista de Preços'!$A68:$W68)&gt;0,IF(AND(ISNUMBER('Lista de Preços'!$L68),ISNUMBER('Lista de Preços'!$M68),'Lista de Preços'!$L68&gt;'Lista de Preços'!$M68),"ERRO","OK"),"")</f>
        <v/>
      </c>
      <c r="F79" s="27" t="str">
        <f aca="true">IF(COUNTA('Lista de Preços'!$A68:$W68)&gt;0,IF(AND('Lista de Preços'!$S68&lt;&gt;"",ISNUMBER('Lista de Preços'!$S68),'Lista de Preços'!$S68&lt;TODAY()),"ERRO","OK"),"")</f>
        <v/>
      </c>
      <c r="G79" s="27" t="str">
        <f aca="false">IF(COUNTA('Lista de Preços'!$A68:$W68)&gt;0,IF(AND('Lista de Preços'!$A68&lt;&gt;"",COUNTIF('Lista de Preços'!$A$4:$A$503,'Lista de Preços'!$A68)&gt;1),"ERRO","OK"),"")</f>
        <v/>
      </c>
      <c r="H79" s="27" t="str">
        <f aca="false">IF(COUNTA('Lista de Preços'!$A68:$W68)&gt;0,IF(AND('Lista de Preços'!$N68&lt;&gt;"",ISNUMBER('Lista de Preços'!$N68),OR('Lista de Preços'!$N68&lt;0,'Lista de Preços'!$N68&gt;0.5)),"ERRO","OK"),"")</f>
        <v/>
      </c>
      <c r="I79" s="27" t="str">
        <f aca="false">IF(COUNTA('Lista de Preços'!$A68:$W68)&gt;0,IF(OR($C79="ERRO",$D79="ERRO",$E79="ERRO",$F79="ERRO",$G79="ERRO",$H79="ERRO"),"FALHA","OK"),"")</f>
        <v/>
      </c>
    </row>
    <row r="80" customFormat="false" ht="15" hidden="false" customHeight="false" outlineLevel="0" collapsed="false">
      <c r="A80" s="26" t="n">
        <f aca="false">'Lista de Preços'!$A69</f>
        <v>0</v>
      </c>
      <c r="B80" s="26" t="n">
        <f aca="false">'Lista de Preços'!$B69</f>
        <v>0</v>
      </c>
      <c r="C80" s="27" t="str">
        <f aca="false">IF(COUNTA('Lista de Preços'!$A69:$W69)&gt;0,IF((COUNTBLANK('Lista de Preços'!$A69)+COUNTBLANK('Lista de Preços'!$B69)+COUNTBLANK('Lista de Preços'!$C69)+COUNTBLANK('Lista de Preços'!$D69)+COUNTBLANK('Lista de Preços'!$E69)+COUNTBLANK('Lista de Preços'!$F69)+COUNTBLANK('Lista de Preços'!$L69)+COUNTBLANK('Lista de Preços'!$M69)+COUNTBLANK('Lista de Preços'!$P69)+COUNTBLANK('Lista de Preços'!$U69)+COUNTBLANK('Lista de Preços'!$V69))&gt;0,"ERRO","OK"),"")</f>
        <v/>
      </c>
      <c r="D80" s="27" t="str">
        <f aca="false">IF(COUNTA('Lista de Preços'!$A69:$W69)&gt;0,IF(OR(AND('Lista de Preços'!$L69&lt;&gt;"",NOT(ISNUMBER('Lista de Preços'!$L69))),AND('Lista de Preços'!$M69&lt;&gt;"",NOT(ISNUMBER('Lista de Preços'!$M69)))),"ERRO","OK"),"")</f>
        <v/>
      </c>
      <c r="E80" s="27" t="str">
        <f aca="false">IF(COUNTA('Lista de Preços'!$A69:$W69)&gt;0,IF(AND(ISNUMBER('Lista de Preços'!$L69),ISNUMBER('Lista de Preços'!$M69),'Lista de Preços'!$L69&gt;'Lista de Preços'!$M69),"ERRO","OK"),"")</f>
        <v/>
      </c>
      <c r="F80" s="27" t="str">
        <f aca="true">IF(COUNTA('Lista de Preços'!$A69:$W69)&gt;0,IF(AND('Lista de Preços'!$S69&lt;&gt;"",ISNUMBER('Lista de Preços'!$S69),'Lista de Preços'!$S69&lt;TODAY()),"ERRO","OK"),"")</f>
        <v/>
      </c>
      <c r="G80" s="27" t="str">
        <f aca="false">IF(COUNTA('Lista de Preços'!$A69:$W69)&gt;0,IF(AND('Lista de Preços'!$A69&lt;&gt;"",COUNTIF('Lista de Preços'!$A$4:$A$503,'Lista de Preços'!$A69)&gt;1),"ERRO","OK"),"")</f>
        <v/>
      </c>
      <c r="H80" s="27" t="str">
        <f aca="false">IF(COUNTA('Lista de Preços'!$A69:$W69)&gt;0,IF(AND('Lista de Preços'!$N69&lt;&gt;"",ISNUMBER('Lista de Preços'!$N69),OR('Lista de Preços'!$N69&lt;0,'Lista de Preços'!$N69&gt;0.5)),"ERRO","OK"),"")</f>
        <v/>
      </c>
      <c r="I80" s="27" t="str">
        <f aca="false">IF(COUNTA('Lista de Preços'!$A69:$W69)&gt;0,IF(OR($C80="ERRO",$D80="ERRO",$E80="ERRO",$F80="ERRO",$G80="ERRO",$H80="ERRO"),"FALHA","OK"),"")</f>
        <v/>
      </c>
    </row>
    <row r="81" customFormat="false" ht="15" hidden="false" customHeight="false" outlineLevel="0" collapsed="false">
      <c r="A81" s="26" t="n">
        <f aca="false">'Lista de Preços'!$A70</f>
        <v>0</v>
      </c>
      <c r="B81" s="26" t="n">
        <f aca="false">'Lista de Preços'!$B70</f>
        <v>0</v>
      </c>
      <c r="C81" s="27" t="str">
        <f aca="false">IF(COUNTA('Lista de Preços'!$A70:$W70)&gt;0,IF((COUNTBLANK('Lista de Preços'!$A70)+COUNTBLANK('Lista de Preços'!$B70)+COUNTBLANK('Lista de Preços'!$C70)+COUNTBLANK('Lista de Preços'!$D70)+COUNTBLANK('Lista de Preços'!$E70)+COUNTBLANK('Lista de Preços'!$F70)+COUNTBLANK('Lista de Preços'!$L70)+COUNTBLANK('Lista de Preços'!$M70)+COUNTBLANK('Lista de Preços'!$P70)+COUNTBLANK('Lista de Preços'!$U70)+COUNTBLANK('Lista de Preços'!$V70))&gt;0,"ERRO","OK"),"")</f>
        <v/>
      </c>
      <c r="D81" s="27" t="str">
        <f aca="false">IF(COUNTA('Lista de Preços'!$A70:$W70)&gt;0,IF(OR(AND('Lista de Preços'!$L70&lt;&gt;"",NOT(ISNUMBER('Lista de Preços'!$L70))),AND('Lista de Preços'!$M70&lt;&gt;"",NOT(ISNUMBER('Lista de Preços'!$M70)))),"ERRO","OK"),"")</f>
        <v/>
      </c>
      <c r="E81" s="27" t="str">
        <f aca="false">IF(COUNTA('Lista de Preços'!$A70:$W70)&gt;0,IF(AND(ISNUMBER('Lista de Preços'!$L70),ISNUMBER('Lista de Preços'!$M70),'Lista de Preços'!$L70&gt;'Lista de Preços'!$M70),"ERRO","OK"),"")</f>
        <v/>
      </c>
      <c r="F81" s="27" t="str">
        <f aca="true">IF(COUNTA('Lista de Preços'!$A70:$W70)&gt;0,IF(AND('Lista de Preços'!$S70&lt;&gt;"",ISNUMBER('Lista de Preços'!$S70),'Lista de Preços'!$S70&lt;TODAY()),"ERRO","OK"),"")</f>
        <v/>
      </c>
      <c r="G81" s="27" t="str">
        <f aca="false">IF(COUNTA('Lista de Preços'!$A70:$W70)&gt;0,IF(AND('Lista de Preços'!$A70&lt;&gt;"",COUNTIF('Lista de Preços'!$A$4:$A$503,'Lista de Preços'!$A70)&gt;1),"ERRO","OK"),"")</f>
        <v/>
      </c>
      <c r="H81" s="27" t="str">
        <f aca="false">IF(COUNTA('Lista de Preços'!$A70:$W70)&gt;0,IF(AND('Lista de Preços'!$N70&lt;&gt;"",ISNUMBER('Lista de Preços'!$N70),OR('Lista de Preços'!$N70&lt;0,'Lista de Preços'!$N70&gt;0.5)),"ERRO","OK"),"")</f>
        <v/>
      </c>
      <c r="I81" s="27" t="str">
        <f aca="false">IF(COUNTA('Lista de Preços'!$A70:$W70)&gt;0,IF(OR($C81="ERRO",$D81="ERRO",$E81="ERRO",$F81="ERRO",$G81="ERRO",$H81="ERRO"),"FALHA","OK"),"")</f>
        <v/>
      </c>
    </row>
    <row r="82" customFormat="false" ht="15" hidden="false" customHeight="false" outlineLevel="0" collapsed="false">
      <c r="A82" s="26" t="n">
        <f aca="false">'Lista de Preços'!$A71</f>
        <v>0</v>
      </c>
      <c r="B82" s="26" t="n">
        <f aca="false">'Lista de Preços'!$B71</f>
        <v>0</v>
      </c>
      <c r="C82" s="27" t="str">
        <f aca="false">IF(COUNTA('Lista de Preços'!$A71:$W71)&gt;0,IF((COUNTBLANK('Lista de Preços'!$A71)+COUNTBLANK('Lista de Preços'!$B71)+COUNTBLANK('Lista de Preços'!$C71)+COUNTBLANK('Lista de Preços'!$D71)+COUNTBLANK('Lista de Preços'!$E71)+COUNTBLANK('Lista de Preços'!$F71)+COUNTBLANK('Lista de Preços'!$L71)+COUNTBLANK('Lista de Preços'!$M71)+COUNTBLANK('Lista de Preços'!$P71)+COUNTBLANK('Lista de Preços'!$U71)+COUNTBLANK('Lista de Preços'!$V71))&gt;0,"ERRO","OK"),"")</f>
        <v/>
      </c>
      <c r="D82" s="27" t="str">
        <f aca="false">IF(COUNTA('Lista de Preços'!$A71:$W71)&gt;0,IF(OR(AND('Lista de Preços'!$L71&lt;&gt;"",NOT(ISNUMBER('Lista de Preços'!$L71))),AND('Lista de Preços'!$M71&lt;&gt;"",NOT(ISNUMBER('Lista de Preços'!$M71)))),"ERRO","OK"),"")</f>
        <v/>
      </c>
      <c r="E82" s="27" t="str">
        <f aca="false">IF(COUNTA('Lista de Preços'!$A71:$W71)&gt;0,IF(AND(ISNUMBER('Lista de Preços'!$L71),ISNUMBER('Lista de Preços'!$M71),'Lista de Preços'!$L71&gt;'Lista de Preços'!$M71),"ERRO","OK"),"")</f>
        <v/>
      </c>
      <c r="F82" s="27" t="str">
        <f aca="true">IF(COUNTA('Lista de Preços'!$A71:$W71)&gt;0,IF(AND('Lista de Preços'!$S71&lt;&gt;"",ISNUMBER('Lista de Preços'!$S71),'Lista de Preços'!$S71&lt;TODAY()),"ERRO","OK"),"")</f>
        <v/>
      </c>
      <c r="G82" s="27" t="str">
        <f aca="false">IF(COUNTA('Lista de Preços'!$A71:$W71)&gt;0,IF(AND('Lista de Preços'!$A71&lt;&gt;"",COUNTIF('Lista de Preços'!$A$4:$A$503,'Lista de Preços'!$A71)&gt;1),"ERRO","OK"),"")</f>
        <v/>
      </c>
      <c r="H82" s="27" t="str">
        <f aca="false">IF(COUNTA('Lista de Preços'!$A71:$W71)&gt;0,IF(AND('Lista de Preços'!$N71&lt;&gt;"",ISNUMBER('Lista de Preços'!$N71),OR('Lista de Preços'!$N71&lt;0,'Lista de Preços'!$N71&gt;0.5)),"ERRO","OK"),"")</f>
        <v/>
      </c>
      <c r="I82" s="27" t="str">
        <f aca="false">IF(COUNTA('Lista de Preços'!$A71:$W71)&gt;0,IF(OR($C82="ERRO",$D82="ERRO",$E82="ERRO",$F82="ERRO",$G82="ERRO",$H82="ERRO"),"FALHA","OK"),"")</f>
        <v/>
      </c>
    </row>
    <row r="83" customFormat="false" ht="15" hidden="false" customHeight="false" outlineLevel="0" collapsed="false">
      <c r="A83" s="26" t="n">
        <f aca="false">'Lista de Preços'!$A72</f>
        <v>0</v>
      </c>
      <c r="B83" s="26" t="n">
        <f aca="false">'Lista de Preços'!$B72</f>
        <v>0</v>
      </c>
      <c r="C83" s="27" t="str">
        <f aca="false">IF(COUNTA('Lista de Preços'!$A72:$W72)&gt;0,IF((COUNTBLANK('Lista de Preços'!$A72)+COUNTBLANK('Lista de Preços'!$B72)+COUNTBLANK('Lista de Preços'!$C72)+COUNTBLANK('Lista de Preços'!$D72)+COUNTBLANK('Lista de Preços'!$E72)+COUNTBLANK('Lista de Preços'!$F72)+COUNTBLANK('Lista de Preços'!$L72)+COUNTBLANK('Lista de Preços'!$M72)+COUNTBLANK('Lista de Preços'!$P72)+COUNTBLANK('Lista de Preços'!$U72)+COUNTBLANK('Lista de Preços'!$V72))&gt;0,"ERRO","OK"),"")</f>
        <v/>
      </c>
      <c r="D83" s="27" t="str">
        <f aca="false">IF(COUNTA('Lista de Preços'!$A72:$W72)&gt;0,IF(OR(AND('Lista de Preços'!$L72&lt;&gt;"",NOT(ISNUMBER('Lista de Preços'!$L72))),AND('Lista de Preços'!$M72&lt;&gt;"",NOT(ISNUMBER('Lista de Preços'!$M72)))),"ERRO","OK"),"")</f>
        <v/>
      </c>
      <c r="E83" s="27" t="str">
        <f aca="false">IF(COUNTA('Lista de Preços'!$A72:$W72)&gt;0,IF(AND(ISNUMBER('Lista de Preços'!$L72),ISNUMBER('Lista de Preços'!$M72),'Lista de Preços'!$L72&gt;'Lista de Preços'!$M72),"ERRO","OK"),"")</f>
        <v/>
      </c>
      <c r="F83" s="27" t="str">
        <f aca="true">IF(COUNTA('Lista de Preços'!$A72:$W72)&gt;0,IF(AND('Lista de Preços'!$S72&lt;&gt;"",ISNUMBER('Lista de Preços'!$S72),'Lista de Preços'!$S72&lt;TODAY()),"ERRO","OK"),"")</f>
        <v/>
      </c>
      <c r="G83" s="27" t="str">
        <f aca="false">IF(COUNTA('Lista de Preços'!$A72:$W72)&gt;0,IF(AND('Lista de Preços'!$A72&lt;&gt;"",COUNTIF('Lista de Preços'!$A$4:$A$503,'Lista de Preços'!$A72)&gt;1),"ERRO","OK"),"")</f>
        <v/>
      </c>
      <c r="H83" s="27" t="str">
        <f aca="false">IF(COUNTA('Lista de Preços'!$A72:$W72)&gt;0,IF(AND('Lista de Preços'!$N72&lt;&gt;"",ISNUMBER('Lista de Preços'!$N72),OR('Lista de Preços'!$N72&lt;0,'Lista de Preços'!$N72&gt;0.5)),"ERRO","OK"),"")</f>
        <v/>
      </c>
      <c r="I83" s="27" t="str">
        <f aca="false">IF(COUNTA('Lista de Preços'!$A72:$W72)&gt;0,IF(OR($C83="ERRO",$D83="ERRO",$E83="ERRO",$F83="ERRO",$G83="ERRO",$H83="ERRO"),"FALHA","OK"),"")</f>
        <v/>
      </c>
    </row>
    <row r="84" customFormat="false" ht="15" hidden="false" customHeight="false" outlineLevel="0" collapsed="false">
      <c r="A84" s="26" t="n">
        <f aca="false">'Lista de Preços'!$A73</f>
        <v>0</v>
      </c>
      <c r="B84" s="26" t="n">
        <f aca="false">'Lista de Preços'!$B73</f>
        <v>0</v>
      </c>
      <c r="C84" s="27" t="str">
        <f aca="false">IF(COUNTA('Lista de Preços'!$A73:$W73)&gt;0,IF((COUNTBLANK('Lista de Preços'!$A73)+COUNTBLANK('Lista de Preços'!$B73)+COUNTBLANK('Lista de Preços'!$C73)+COUNTBLANK('Lista de Preços'!$D73)+COUNTBLANK('Lista de Preços'!$E73)+COUNTBLANK('Lista de Preços'!$F73)+COUNTBLANK('Lista de Preços'!$L73)+COUNTBLANK('Lista de Preços'!$M73)+COUNTBLANK('Lista de Preços'!$P73)+COUNTBLANK('Lista de Preços'!$U73)+COUNTBLANK('Lista de Preços'!$V73))&gt;0,"ERRO","OK"),"")</f>
        <v/>
      </c>
      <c r="D84" s="27" t="str">
        <f aca="false">IF(COUNTA('Lista de Preços'!$A73:$W73)&gt;0,IF(OR(AND('Lista de Preços'!$L73&lt;&gt;"",NOT(ISNUMBER('Lista de Preços'!$L73))),AND('Lista de Preços'!$M73&lt;&gt;"",NOT(ISNUMBER('Lista de Preços'!$M73)))),"ERRO","OK"),"")</f>
        <v/>
      </c>
      <c r="E84" s="27" t="str">
        <f aca="false">IF(COUNTA('Lista de Preços'!$A73:$W73)&gt;0,IF(AND(ISNUMBER('Lista de Preços'!$L73),ISNUMBER('Lista de Preços'!$M73),'Lista de Preços'!$L73&gt;'Lista de Preços'!$M73),"ERRO","OK"),"")</f>
        <v/>
      </c>
      <c r="F84" s="27" t="str">
        <f aca="true">IF(COUNTA('Lista de Preços'!$A73:$W73)&gt;0,IF(AND('Lista de Preços'!$S73&lt;&gt;"",ISNUMBER('Lista de Preços'!$S73),'Lista de Preços'!$S73&lt;TODAY()),"ERRO","OK"),"")</f>
        <v/>
      </c>
      <c r="G84" s="27" t="str">
        <f aca="false">IF(COUNTA('Lista de Preços'!$A73:$W73)&gt;0,IF(AND('Lista de Preços'!$A73&lt;&gt;"",COUNTIF('Lista de Preços'!$A$4:$A$503,'Lista de Preços'!$A73)&gt;1),"ERRO","OK"),"")</f>
        <v/>
      </c>
      <c r="H84" s="27" t="str">
        <f aca="false">IF(COUNTA('Lista de Preços'!$A73:$W73)&gt;0,IF(AND('Lista de Preços'!$N73&lt;&gt;"",ISNUMBER('Lista de Preços'!$N73),OR('Lista de Preços'!$N73&lt;0,'Lista de Preços'!$N73&gt;0.5)),"ERRO","OK"),"")</f>
        <v/>
      </c>
      <c r="I84" s="27" t="str">
        <f aca="false">IF(COUNTA('Lista de Preços'!$A73:$W73)&gt;0,IF(OR($C84="ERRO",$D84="ERRO",$E84="ERRO",$F84="ERRO",$G84="ERRO",$H84="ERRO"),"FALHA","OK"),"")</f>
        <v/>
      </c>
    </row>
    <row r="85" customFormat="false" ht="15" hidden="false" customHeight="false" outlineLevel="0" collapsed="false">
      <c r="A85" s="26" t="n">
        <f aca="false">'Lista de Preços'!$A74</f>
        <v>0</v>
      </c>
      <c r="B85" s="26" t="n">
        <f aca="false">'Lista de Preços'!$B74</f>
        <v>0</v>
      </c>
      <c r="C85" s="27" t="str">
        <f aca="false">IF(COUNTA('Lista de Preços'!$A74:$W74)&gt;0,IF((COUNTBLANK('Lista de Preços'!$A74)+COUNTBLANK('Lista de Preços'!$B74)+COUNTBLANK('Lista de Preços'!$C74)+COUNTBLANK('Lista de Preços'!$D74)+COUNTBLANK('Lista de Preços'!$E74)+COUNTBLANK('Lista de Preços'!$F74)+COUNTBLANK('Lista de Preços'!$L74)+COUNTBLANK('Lista de Preços'!$M74)+COUNTBLANK('Lista de Preços'!$P74)+COUNTBLANK('Lista de Preços'!$U74)+COUNTBLANK('Lista de Preços'!$V74))&gt;0,"ERRO","OK"),"")</f>
        <v/>
      </c>
      <c r="D85" s="27" t="str">
        <f aca="false">IF(COUNTA('Lista de Preços'!$A74:$W74)&gt;0,IF(OR(AND('Lista de Preços'!$L74&lt;&gt;"",NOT(ISNUMBER('Lista de Preços'!$L74))),AND('Lista de Preços'!$M74&lt;&gt;"",NOT(ISNUMBER('Lista de Preços'!$M74)))),"ERRO","OK"),"")</f>
        <v/>
      </c>
      <c r="E85" s="27" t="str">
        <f aca="false">IF(COUNTA('Lista de Preços'!$A74:$W74)&gt;0,IF(AND(ISNUMBER('Lista de Preços'!$L74),ISNUMBER('Lista de Preços'!$M74),'Lista de Preços'!$L74&gt;'Lista de Preços'!$M74),"ERRO","OK"),"")</f>
        <v/>
      </c>
      <c r="F85" s="27" t="str">
        <f aca="true">IF(COUNTA('Lista de Preços'!$A74:$W74)&gt;0,IF(AND('Lista de Preços'!$S74&lt;&gt;"",ISNUMBER('Lista de Preços'!$S74),'Lista de Preços'!$S74&lt;TODAY()),"ERRO","OK"),"")</f>
        <v/>
      </c>
      <c r="G85" s="27" t="str">
        <f aca="false">IF(COUNTA('Lista de Preços'!$A74:$W74)&gt;0,IF(AND('Lista de Preços'!$A74&lt;&gt;"",COUNTIF('Lista de Preços'!$A$4:$A$503,'Lista de Preços'!$A74)&gt;1),"ERRO","OK"),"")</f>
        <v/>
      </c>
      <c r="H85" s="27" t="str">
        <f aca="false">IF(COUNTA('Lista de Preços'!$A74:$W74)&gt;0,IF(AND('Lista de Preços'!$N74&lt;&gt;"",ISNUMBER('Lista de Preços'!$N74),OR('Lista de Preços'!$N74&lt;0,'Lista de Preços'!$N74&gt;0.5)),"ERRO","OK"),"")</f>
        <v/>
      </c>
      <c r="I85" s="27" t="str">
        <f aca="false">IF(COUNTA('Lista de Preços'!$A74:$W74)&gt;0,IF(OR($C85="ERRO",$D85="ERRO",$E85="ERRO",$F85="ERRO",$G85="ERRO",$H85="ERRO"),"FALHA","OK"),"")</f>
        <v/>
      </c>
    </row>
    <row r="86" customFormat="false" ht="15" hidden="false" customHeight="false" outlineLevel="0" collapsed="false">
      <c r="A86" s="26" t="n">
        <f aca="false">'Lista de Preços'!$A75</f>
        <v>0</v>
      </c>
      <c r="B86" s="26" t="n">
        <f aca="false">'Lista de Preços'!$B75</f>
        <v>0</v>
      </c>
      <c r="C86" s="27" t="str">
        <f aca="false">IF(COUNTA('Lista de Preços'!$A75:$W75)&gt;0,IF((COUNTBLANK('Lista de Preços'!$A75)+COUNTBLANK('Lista de Preços'!$B75)+COUNTBLANK('Lista de Preços'!$C75)+COUNTBLANK('Lista de Preços'!$D75)+COUNTBLANK('Lista de Preços'!$E75)+COUNTBLANK('Lista de Preços'!$F75)+COUNTBLANK('Lista de Preços'!$L75)+COUNTBLANK('Lista de Preços'!$M75)+COUNTBLANK('Lista de Preços'!$P75)+COUNTBLANK('Lista de Preços'!$U75)+COUNTBLANK('Lista de Preços'!$V75))&gt;0,"ERRO","OK"),"")</f>
        <v/>
      </c>
      <c r="D86" s="27" t="str">
        <f aca="false">IF(COUNTA('Lista de Preços'!$A75:$W75)&gt;0,IF(OR(AND('Lista de Preços'!$L75&lt;&gt;"",NOT(ISNUMBER('Lista de Preços'!$L75))),AND('Lista de Preços'!$M75&lt;&gt;"",NOT(ISNUMBER('Lista de Preços'!$M75)))),"ERRO","OK"),"")</f>
        <v/>
      </c>
      <c r="E86" s="27" t="str">
        <f aca="false">IF(COUNTA('Lista de Preços'!$A75:$W75)&gt;0,IF(AND(ISNUMBER('Lista de Preços'!$L75),ISNUMBER('Lista de Preços'!$M75),'Lista de Preços'!$L75&gt;'Lista de Preços'!$M75),"ERRO","OK"),"")</f>
        <v/>
      </c>
      <c r="F86" s="27" t="str">
        <f aca="true">IF(COUNTA('Lista de Preços'!$A75:$W75)&gt;0,IF(AND('Lista de Preços'!$S75&lt;&gt;"",ISNUMBER('Lista de Preços'!$S75),'Lista de Preços'!$S75&lt;TODAY()),"ERRO","OK"),"")</f>
        <v/>
      </c>
      <c r="G86" s="27" t="str">
        <f aca="false">IF(COUNTA('Lista de Preços'!$A75:$W75)&gt;0,IF(AND('Lista de Preços'!$A75&lt;&gt;"",COUNTIF('Lista de Preços'!$A$4:$A$503,'Lista de Preços'!$A75)&gt;1),"ERRO","OK"),"")</f>
        <v/>
      </c>
      <c r="H86" s="27" t="str">
        <f aca="false">IF(COUNTA('Lista de Preços'!$A75:$W75)&gt;0,IF(AND('Lista de Preços'!$N75&lt;&gt;"",ISNUMBER('Lista de Preços'!$N75),OR('Lista de Preços'!$N75&lt;0,'Lista de Preços'!$N75&gt;0.5)),"ERRO","OK"),"")</f>
        <v/>
      </c>
      <c r="I86" s="27" t="str">
        <f aca="false">IF(COUNTA('Lista de Preços'!$A75:$W75)&gt;0,IF(OR($C86="ERRO",$D86="ERRO",$E86="ERRO",$F86="ERRO",$G86="ERRO",$H86="ERRO"),"FALHA","OK"),"")</f>
        <v/>
      </c>
    </row>
    <row r="87" customFormat="false" ht="15" hidden="false" customHeight="false" outlineLevel="0" collapsed="false">
      <c r="A87" s="26" t="n">
        <f aca="false">'Lista de Preços'!$A76</f>
        <v>0</v>
      </c>
      <c r="B87" s="26" t="n">
        <f aca="false">'Lista de Preços'!$B76</f>
        <v>0</v>
      </c>
      <c r="C87" s="27" t="str">
        <f aca="false">IF(COUNTA('Lista de Preços'!$A76:$W76)&gt;0,IF((COUNTBLANK('Lista de Preços'!$A76)+COUNTBLANK('Lista de Preços'!$B76)+COUNTBLANK('Lista de Preços'!$C76)+COUNTBLANK('Lista de Preços'!$D76)+COUNTBLANK('Lista de Preços'!$E76)+COUNTBLANK('Lista de Preços'!$F76)+COUNTBLANK('Lista de Preços'!$L76)+COUNTBLANK('Lista de Preços'!$M76)+COUNTBLANK('Lista de Preços'!$P76)+COUNTBLANK('Lista de Preços'!$U76)+COUNTBLANK('Lista de Preços'!$V76))&gt;0,"ERRO","OK"),"")</f>
        <v/>
      </c>
      <c r="D87" s="27" t="str">
        <f aca="false">IF(COUNTA('Lista de Preços'!$A76:$W76)&gt;0,IF(OR(AND('Lista de Preços'!$L76&lt;&gt;"",NOT(ISNUMBER('Lista de Preços'!$L76))),AND('Lista de Preços'!$M76&lt;&gt;"",NOT(ISNUMBER('Lista de Preços'!$M76)))),"ERRO","OK"),"")</f>
        <v/>
      </c>
      <c r="E87" s="27" t="str">
        <f aca="false">IF(COUNTA('Lista de Preços'!$A76:$W76)&gt;0,IF(AND(ISNUMBER('Lista de Preços'!$L76),ISNUMBER('Lista de Preços'!$M76),'Lista de Preços'!$L76&gt;'Lista de Preços'!$M76),"ERRO","OK"),"")</f>
        <v/>
      </c>
      <c r="F87" s="27" t="str">
        <f aca="true">IF(COUNTA('Lista de Preços'!$A76:$W76)&gt;0,IF(AND('Lista de Preços'!$S76&lt;&gt;"",ISNUMBER('Lista de Preços'!$S76),'Lista de Preços'!$S76&lt;TODAY()),"ERRO","OK"),"")</f>
        <v/>
      </c>
      <c r="G87" s="27" t="str">
        <f aca="false">IF(COUNTA('Lista de Preços'!$A76:$W76)&gt;0,IF(AND('Lista de Preços'!$A76&lt;&gt;"",COUNTIF('Lista de Preços'!$A$4:$A$503,'Lista de Preços'!$A76)&gt;1),"ERRO","OK"),"")</f>
        <v/>
      </c>
      <c r="H87" s="27" t="str">
        <f aca="false">IF(COUNTA('Lista de Preços'!$A76:$W76)&gt;0,IF(AND('Lista de Preços'!$N76&lt;&gt;"",ISNUMBER('Lista de Preços'!$N76),OR('Lista de Preços'!$N76&lt;0,'Lista de Preços'!$N76&gt;0.5)),"ERRO","OK"),"")</f>
        <v/>
      </c>
      <c r="I87" s="27" t="str">
        <f aca="false">IF(COUNTA('Lista de Preços'!$A76:$W76)&gt;0,IF(OR($C87="ERRO",$D87="ERRO",$E87="ERRO",$F87="ERRO",$G87="ERRO",$H87="ERRO"),"FALHA","OK"),"")</f>
        <v/>
      </c>
    </row>
    <row r="88" customFormat="false" ht="15" hidden="false" customHeight="false" outlineLevel="0" collapsed="false">
      <c r="A88" s="26" t="n">
        <f aca="false">'Lista de Preços'!$A77</f>
        <v>0</v>
      </c>
      <c r="B88" s="26" t="n">
        <f aca="false">'Lista de Preços'!$B77</f>
        <v>0</v>
      </c>
      <c r="C88" s="27" t="str">
        <f aca="false">IF(COUNTA('Lista de Preços'!$A77:$W77)&gt;0,IF((COUNTBLANK('Lista de Preços'!$A77)+COUNTBLANK('Lista de Preços'!$B77)+COUNTBLANK('Lista de Preços'!$C77)+COUNTBLANK('Lista de Preços'!$D77)+COUNTBLANK('Lista de Preços'!$E77)+COUNTBLANK('Lista de Preços'!$F77)+COUNTBLANK('Lista de Preços'!$L77)+COUNTBLANK('Lista de Preços'!$M77)+COUNTBLANK('Lista de Preços'!$P77)+COUNTBLANK('Lista de Preços'!$U77)+COUNTBLANK('Lista de Preços'!$V77))&gt;0,"ERRO","OK"),"")</f>
        <v/>
      </c>
      <c r="D88" s="27" t="str">
        <f aca="false">IF(COUNTA('Lista de Preços'!$A77:$W77)&gt;0,IF(OR(AND('Lista de Preços'!$L77&lt;&gt;"",NOT(ISNUMBER('Lista de Preços'!$L77))),AND('Lista de Preços'!$M77&lt;&gt;"",NOT(ISNUMBER('Lista de Preços'!$M77)))),"ERRO","OK"),"")</f>
        <v/>
      </c>
      <c r="E88" s="27" t="str">
        <f aca="false">IF(COUNTA('Lista de Preços'!$A77:$W77)&gt;0,IF(AND(ISNUMBER('Lista de Preços'!$L77),ISNUMBER('Lista de Preços'!$M77),'Lista de Preços'!$L77&gt;'Lista de Preços'!$M77),"ERRO","OK"),"")</f>
        <v/>
      </c>
      <c r="F88" s="27" t="str">
        <f aca="true">IF(COUNTA('Lista de Preços'!$A77:$W77)&gt;0,IF(AND('Lista de Preços'!$S77&lt;&gt;"",ISNUMBER('Lista de Preços'!$S77),'Lista de Preços'!$S77&lt;TODAY()),"ERRO","OK"),"")</f>
        <v/>
      </c>
      <c r="G88" s="27" t="str">
        <f aca="false">IF(COUNTA('Lista de Preços'!$A77:$W77)&gt;0,IF(AND('Lista de Preços'!$A77&lt;&gt;"",COUNTIF('Lista de Preços'!$A$4:$A$503,'Lista de Preços'!$A77)&gt;1),"ERRO","OK"),"")</f>
        <v/>
      </c>
      <c r="H88" s="27" t="str">
        <f aca="false">IF(COUNTA('Lista de Preços'!$A77:$W77)&gt;0,IF(AND('Lista de Preços'!$N77&lt;&gt;"",ISNUMBER('Lista de Preços'!$N77),OR('Lista de Preços'!$N77&lt;0,'Lista de Preços'!$N77&gt;0.5)),"ERRO","OK"),"")</f>
        <v/>
      </c>
      <c r="I88" s="27" t="str">
        <f aca="false">IF(COUNTA('Lista de Preços'!$A77:$W77)&gt;0,IF(OR($C88="ERRO",$D88="ERRO",$E88="ERRO",$F88="ERRO",$G88="ERRO",$H88="ERRO"),"FALHA","OK"),"")</f>
        <v/>
      </c>
    </row>
    <row r="89" customFormat="false" ht="15" hidden="false" customHeight="false" outlineLevel="0" collapsed="false">
      <c r="A89" s="26" t="n">
        <f aca="false">'Lista de Preços'!$A78</f>
        <v>0</v>
      </c>
      <c r="B89" s="26" t="n">
        <f aca="false">'Lista de Preços'!$B78</f>
        <v>0</v>
      </c>
      <c r="C89" s="27" t="str">
        <f aca="false">IF(COUNTA('Lista de Preços'!$A78:$W78)&gt;0,IF((COUNTBLANK('Lista de Preços'!$A78)+COUNTBLANK('Lista de Preços'!$B78)+COUNTBLANK('Lista de Preços'!$C78)+COUNTBLANK('Lista de Preços'!$D78)+COUNTBLANK('Lista de Preços'!$E78)+COUNTBLANK('Lista de Preços'!$F78)+COUNTBLANK('Lista de Preços'!$L78)+COUNTBLANK('Lista de Preços'!$M78)+COUNTBLANK('Lista de Preços'!$P78)+COUNTBLANK('Lista de Preços'!$U78)+COUNTBLANK('Lista de Preços'!$V78))&gt;0,"ERRO","OK"),"")</f>
        <v/>
      </c>
      <c r="D89" s="27" t="str">
        <f aca="false">IF(COUNTA('Lista de Preços'!$A78:$W78)&gt;0,IF(OR(AND('Lista de Preços'!$L78&lt;&gt;"",NOT(ISNUMBER('Lista de Preços'!$L78))),AND('Lista de Preços'!$M78&lt;&gt;"",NOT(ISNUMBER('Lista de Preços'!$M78)))),"ERRO","OK"),"")</f>
        <v/>
      </c>
      <c r="E89" s="27" t="str">
        <f aca="false">IF(COUNTA('Lista de Preços'!$A78:$W78)&gt;0,IF(AND(ISNUMBER('Lista de Preços'!$L78),ISNUMBER('Lista de Preços'!$M78),'Lista de Preços'!$L78&gt;'Lista de Preços'!$M78),"ERRO","OK"),"")</f>
        <v/>
      </c>
      <c r="F89" s="27" t="str">
        <f aca="true">IF(COUNTA('Lista de Preços'!$A78:$W78)&gt;0,IF(AND('Lista de Preços'!$S78&lt;&gt;"",ISNUMBER('Lista de Preços'!$S78),'Lista de Preços'!$S78&lt;TODAY()),"ERRO","OK"),"")</f>
        <v/>
      </c>
      <c r="G89" s="27" t="str">
        <f aca="false">IF(COUNTA('Lista de Preços'!$A78:$W78)&gt;0,IF(AND('Lista de Preços'!$A78&lt;&gt;"",COUNTIF('Lista de Preços'!$A$4:$A$503,'Lista de Preços'!$A78)&gt;1),"ERRO","OK"),"")</f>
        <v/>
      </c>
      <c r="H89" s="27" t="str">
        <f aca="false">IF(COUNTA('Lista de Preços'!$A78:$W78)&gt;0,IF(AND('Lista de Preços'!$N78&lt;&gt;"",ISNUMBER('Lista de Preços'!$N78),OR('Lista de Preços'!$N78&lt;0,'Lista de Preços'!$N78&gt;0.5)),"ERRO","OK"),"")</f>
        <v/>
      </c>
      <c r="I89" s="27" t="str">
        <f aca="false">IF(COUNTA('Lista de Preços'!$A78:$W78)&gt;0,IF(OR($C89="ERRO",$D89="ERRO",$E89="ERRO",$F89="ERRO",$G89="ERRO",$H89="ERRO"),"FALHA","OK"),"")</f>
        <v/>
      </c>
    </row>
    <row r="90" customFormat="false" ht="15" hidden="false" customHeight="false" outlineLevel="0" collapsed="false">
      <c r="A90" s="26" t="n">
        <f aca="false">'Lista de Preços'!$A79</f>
        <v>0</v>
      </c>
      <c r="B90" s="26" t="n">
        <f aca="false">'Lista de Preços'!$B79</f>
        <v>0</v>
      </c>
      <c r="C90" s="27" t="str">
        <f aca="false">IF(COUNTA('Lista de Preços'!$A79:$W79)&gt;0,IF((COUNTBLANK('Lista de Preços'!$A79)+COUNTBLANK('Lista de Preços'!$B79)+COUNTBLANK('Lista de Preços'!$C79)+COUNTBLANK('Lista de Preços'!$D79)+COUNTBLANK('Lista de Preços'!$E79)+COUNTBLANK('Lista de Preços'!$F79)+COUNTBLANK('Lista de Preços'!$L79)+COUNTBLANK('Lista de Preços'!$M79)+COUNTBLANK('Lista de Preços'!$P79)+COUNTBLANK('Lista de Preços'!$U79)+COUNTBLANK('Lista de Preços'!$V79))&gt;0,"ERRO","OK"),"")</f>
        <v/>
      </c>
      <c r="D90" s="27" t="str">
        <f aca="false">IF(COUNTA('Lista de Preços'!$A79:$W79)&gt;0,IF(OR(AND('Lista de Preços'!$L79&lt;&gt;"",NOT(ISNUMBER('Lista de Preços'!$L79))),AND('Lista de Preços'!$M79&lt;&gt;"",NOT(ISNUMBER('Lista de Preços'!$M79)))),"ERRO","OK"),"")</f>
        <v/>
      </c>
      <c r="E90" s="27" t="str">
        <f aca="false">IF(COUNTA('Lista de Preços'!$A79:$W79)&gt;0,IF(AND(ISNUMBER('Lista de Preços'!$L79),ISNUMBER('Lista de Preços'!$M79),'Lista de Preços'!$L79&gt;'Lista de Preços'!$M79),"ERRO","OK"),"")</f>
        <v/>
      </c>
      <c r="F90" s="27" t="str">
        <f aca="true">IF(COUNTA('Lista de Preços'!$A79:$W79)&gt;0,IF(AND('Lista de Preços'!$S79&lt;&gt;"",ISNUMBER('Lista de Preços'!$S79),'Lista de Preços'!$S79&lt;TODAY()),"ERRO","OK"),"")</f>
        <v/>
      </c>
      <c r="G90" s="27" t="str">
        <f aca="false">IF(COUNTA('Lista de Preços'!$A79:$W79)&gt;0,IF(AND('Lista de Preços'!$A79&lt;&gt;"",COUNTIF('Lista de Preços'!$A$4:$A$503,'Lista de Preços'!$A79)&gt;1),"ERRO","OK"),"")</f>
        <v/>
      </c>
      <c r="H90" s="27" t="str">
        <f aca="false">IF(COUNTA('Lista de Preços'!$A79:$W79)&gt;0,IF(AND('Lista de Preços'!$N79&lt;&gt;"",ISNUMBER('Lista de Preços'!$N79),OR('Lista de Preços'!$N79&lt;0,'Lista de Preços'!$N79&gt;0.5)),"ERRO","OK"),"")</f>
        <v/>
      </c>
      <c r="I90" s="27" t="str">
        <f aca="false">IF(COUNTA('Lista de Preços'!$A79:$W79)&gt;0,IF(OR($C90="ERRO",$D90="ERRO",$E90="ERRO",$F90="ERRO",$G90="ERRO",$H90="ERRO"),"FALHA","OK"),"")</f>
        <v/>
      </c>
    </row>
    <row r="91" customFormat="false" ht="15" hidden="false" customHeight="false" outlineLevel="0" collapsed="false">
      <c r="A91" s="26" t="n">
        <f aca="false">'Lista de Preços'!$A80</f>
        <v>0</v>
      </c>
      <c r="B91" s="26" t="n">
        <f aca="false">'Lista de Preços'!$B80</f>
        <v>0</v>
      </c>
      <c r="C91" s="27" t="str">
        <f aca="false">IF(COUNTA('Lista de Preços'!$A80:$W80)&gt;0,IF((COUNTBLANK('Lista de Preços'!$A80)+COUNTBLANK('Lista de Preços'!$B80)+COUNTBLANK('Lista de Preços'!$C80)+COUNTBLANK('Lista de Preços'!$D80)+COUNTBLANK('Lista de Preços'!$E80)+COUNTBLANK('Lista de Preços'!$F80)+COUNTBLANK('Lista de Preços'!$L80)+COUNTBLANK('Lista de Preços'!$M80)+COUNTBLANK('Lista de Preços'!$P80)+COUNTBLANK('Lista de Preços'!$U80)+COUNTBLANK('Lista de Preços'!$V80))&gt;0,"ERRO","OK"),"")</f>
        <v/>
      </c>
      <c r="D91" s="27" t="str">
        <f aca="false">IF(COUNTA('Lista de Preços'!$A80:$W80)&gt;0,IF(OR(AND('Lista de Preços'!$L80&lt;&gt;"",NOT(ISNUMBER('Lista de Preços'!$L80))),AND('Lista de Preços'!$M80&lt;&gt;"",NOT(ISNUMBER('Lista de Preços'!$M80)))),"ERRO","OK"),"")</f>
        <v/>
      </c>
      <c r="E91" s="27" t="str">
        <f aca="false">IF(COUNTA('Lista de Preços'!$A80:$W80)&gt;0,IF(AND(ISNUMBER('Lista de Preços'!$L80),ISNUMBER('Lista de Preços'!$M80),'Lista de Preços'!$L80&gt;'Lista de Preços'!$M80),"ERRO","OK"),"")</f>
        <v/>
      </c>
      <c r="F91" s="27" t="str">
        <f aca="true">IF(COUNTA('Lista de Preços'!$A80:$W80)&gt;0,IF(AND('Lista de Preços'!$S80&lt;&gt;"",ISNUMBER('Lista de Preços'!$S80),'Lista de Preços'!$S80&lt;TODAY()),"ERRO","OK"),"")</f>
        <v/>
      </c>
      <c r="G91" s="27" t="str">
        <f aca="false">IF(COUNTA('Lista de Preços'!$A80:$W80)&gt;0,IF(AND('Lista de Preços'!$A80&lt;&gt;"",COUNTIF('Lista de Preços'!$A$4:$A$503,'Lista de Preços'!$A80)&gt;1),"ERRO","OK"),"")</f>
        <v/>
      </c>
      <c r="H91" s="27" t="str">
        <f aca="false">IF(COUNTA('Lista de Preços'!$A80:$W80)&gt;0,IF(AND('Lista de Preços'!$N80&lt;&gt;"",ISNUMBER('Lista de Preços'!$N80),OR('Lista de Preços'!$N80&lt;0,'Lista de Preços'!$N80&gt;0.5)),"ERRO","OK"),"")</f>
        <v/>
      </c>
      <c r="I91" s="27" t="str">
        <f aca="false">IF(COUNTA('Lista de Preços'!$A80:$W80)&gt;0,IF(OR($C91="ERRO",$D91="ERRO",$E91="ERRO",$F91="ERRO",$G91="ERRO",$H91="ERRO"),"FALHA","OK"),"")</f>
        <v/>
      </c>
    </row>
    <row r="92" customFormat="false" ht="15" hidden="false" customHeight="false" outlineLevel="0" collapsed="false">
      <c r="A92" s="26" t="n">
        <f aca="false">'Lista de Preços'!$A81</f>
        <v>0</v>
      </c>
      <c r="B92" s="26" t="n">
        <f aca="false">'Lista de Preços'!$B81</f>
        <v>0</v>
      </c>
      <c r="C92" s="27" t="str">
        <f aca="false">IF(COUNTA('Lista de Preços'!$A81:$W81)&gt;0,IF((COUNTBLANK('Lista de Preços'!$A81)+COUNTBLANK('Lista de Preços'!$B81)+COUNTBLANK('Lista de Preços'!$C81)+COUNTBLANK('Lista de Preços'!$D81)+COUNTBLANK('Lista de Preços'!$E81)+COUNTBLANK('Lista de Preços'!$F81)+COUNTBLANK('Lista de Preços'!$L81)+COUNTBLANK('Lista de Preços'!$M81)+COUNTBLANK('Lista de Preços'!$P81)+COUNTBLANK('Lista de Preços'!$U81)+COUNTBLANK('Lista de Preços'!$V81))&gt;0,"ERRO","OK"),"")</f>
        <v/>
      </c>
      <c r="D92" s="27" t="str">
        <f aca="false">IF(COUNTA('Lista de Preços'!$A81:$W81)&gt;0,IF(OR(AND('Lista de Preços'!$L81&lt;&gt;"",NOT(ISNUMBER('Lista de Preços'!$L81))),AND('Lista de Preços'!$M81&lt;&gt;"",NOT(ISNUMBER('Lista de Preços'!$M81)))),"ERRO","OK"),"")</f>
        <v/>
      </c>
      <c r="E92" s="27" t="str">
        <f aca="false">IF(COUNTA('Lista de Preços'!$A81:$W81)&gt;0,IF(AND(ISNUMBER('Lista de Preços'!$L81),ISNUMBER('Lista de Preços'!$M81),'Lista de Preços'!$L81&gt;'Lista de Preços'!$M81),"ERRO","OK"),"")</f>
        <v/>
      </c>
      <c r="F92" s="27" t="str">
        <f aca="true">IF(COUNTA('Lista de Preços'!$A81:$W81)&gt;0,IF(AND('Lista de Preços'!$S81&lt;&gt;"",ISNUMBER('Lista de Preços'!$S81),'Lista de Preços'!$S81&lt;TODAY()),"ERRO","OK"),"")</f>
        <v/>
      </c>
      <c r="G92" s="27" t="str">
        <f aca="false">IF(COUNTA('Lista de Preços'!$A81:$W81)&gt;0,IF(AND('Lista de Preços'!$A81&lt;&gt;"",COUNTIF('Lista de Preços'!$A$4:$A$503,'Lista de Preços'!$A81)&gt;1),"ERRO","OK"),"")</f>
        <v/>
      </c>
      <c r="H92" s="27" t="str">
        <f aca="false">IF(COUNTA('Lista de Preços'!$A81:$W81)&gt;0,IF(AND('Lista de Preços'!$N81&lt;&gt;"",ISNUMBER('Lista de Preços'!$N81),OR('Lista de Preços'!$N81&lt;0,'Lista de Preços'!$N81&gt;0.5)),"ERRO","OK"),"")</f>
        <v/>
      </c>
      <c r="I92" s="27" t="str">
        <f aca="false">IF(COUNTA('Lista de Preços'!$A81:$W81)&gt;0,IF(OR($C92="ERRO",$D92="ERRO",$E92="ERRO",$F92="ERRO",$G92="ERRO",$H92="ERRO"),"FALHA","OK"),"")</f>
        <v/>
      </c>
    </row>
    <row r="93" customFormat="false" ht="15" hidden="false" customHeight="false" outlineLevel="0" collapsed="false">
      <c r="A93" s="26" t="n">
        <f aca="false">'Lista de Preços'!$A82</f>
        <v>0</v>
      </c>
      <c r="B93" s="26" t="n">
        <f aca="false">'Lista de Preços'!$B82</f>
        <v>0</v>
      </c>
      <c r="C93" s="27" t="str">
        <f aca="false">IF(COUNTA('Lista de Preços'!$A82:$W82)&gt;0,IF((COUNTBLANK('Lista de Preços'!$A82)+COUNTBLANK('Lista de Preços'!$B82)+COUNTBLANK('Lista de Preços'!$C82)+COUNTBLANK('Lista de Preços'!$D82)+COUNTBLANK('Lista de Preços'!$E82)+COUNTBLANK('Lista de Preços'!$F82)+COUNTBLANK('Lista de Preços'!$L82)+COUNTBLANK('Lista de Preços'!$M82)+COUNTBLANK('Lista de Preços'!$P82)+COUNTBLANK('Lista de Preços'!$U82)+COUNTBLANK('Lista de Preços'!$V82))&gt;0,"ERRO","OK"),"")</f>
        <v/>
      </c>
      <c r="D93" s="27" t="str">
        <f aca="false">IF(COUNTA('Lista de Preços'!$A82:$W82)&gt;0,IF(OR(AND('Lista de Preços'!$L82&lt;&gt;"",NOT(ISNUMBER('Lista de Preços'!$L82))),AND('Lista de Preços'!$M82&lt;&gt;"",NOT(ISNUMBER('Lista de Preços'!$M82)))),"ERRO","OK"),"")</f>
        <v/>
      </c>
      <c r="E93" s="27" t="str">
        <f aca="false">IF(COUNTA('Lista de Preços'!$A82:$W82)&gt;0,IF(AND(ISNUMBER('Lista de Preços'!$L82),ISNUMBER('Lista de Preços'!$M82),'Lista de Preços'!$L82&gt;'Lista de Preços'!$M82),"ERRO","OK"),"")</f>
        <v/>
      </c>
      <c r="F93" s="27" t="str">
        <f aca="true">IF(COUNTA('Lista de Preços'!$A82:$W82)&gt;0,IF(AND('Lista de Preços'!$S82&lt;&gt;"",ISNUMBER('Lista de Preços'!$S82),'Lista de Preços'!$S82&lt;TODAY()),"ERRO","OK"),"")</f>
        <v/>
      </c>
      <c r="G93" s="27" t="str">
        <f aca="false">IF(COUNTA('Lista de Preços'!$A82:$W82)&gt;0,IF(AND('Lista de Preços'!$A82&lt;&gt;"",COUNTIF('Lista de Preços'!$A$4:$A$503,'Lista de Preços'!$A82)&gt;1),"ERRO","OK"),"")</f>
        <v/>
      </c>
      <c r="H93" s="27" t="str">
        <f aca="false">IF(COUNTA('Lista de Preços'!$A82:$W82)&gt;0,IF(AND('Lista de Preços'!$N82&lt;&gt;"",ISNUMBER('Lista de Preços'!$N82),OR('Lista de Preços'!$N82&lt;0,'Lista de Preços'!$N82&gt;0.5)),"ERRO","OK"),"")</f>
        <v/>
      </c>
      <c r="I93" s="27" t="str">
        <f aca="false">IF(COUNTA('Lista de Preços'!$A82:$W82)&gt;0,IF(OR($C93="ERRO",$D93="ERRO",$E93="ERRO",$F93="ERRO",$G93="ERRO",$H93="ERRO"),"FALHA","OK"),"")</f>
        <v/>
      </c>
    </row>
    <row r="94" customFormat="false" ht="15" hidden="false" customHeight="false" outlineLevel="0" collapsed="false">
      <c r="A94" s="26" t="n">
        <f aca="false">'Lista de Preços'!$A83</f>
        <v>0</v>
      </c>
      <c r="B94" s="26" t="n">
        <f aca="false">'Lista de Preços'!$B83</f>
        <v>0</v>
      </c>
      <c r="C94" s="27" t="str">
        <f aca="false">IF(COUNTA('Lista de Preços'!$A83:$W83)&gt;0,IF((COUNTBLANK('Lista de Preços'!$A83)+COUNTBLANK('Lista de Preços'!$B83)+COUNTBLANK('Lista de Preços'!$C83)+COUNTBLANK('Lista de Preços'!$D83)+COUNTBLANK('Lista de Preços'!$E83)+COUNTBLANK('Lista de Preços'!$F83)+COUNTBLANK('Lista de Preços'!$L83)+COUNTBLANK('Lista de Preços'!$M83)+COUNTBLANK('Lista de Preços'!$P83)+COUNTBLANK('Lista de Preços'!$U83)+COUNTBLANK('Lista de Preços'!$V83))&gt;0,"ERRO","OK"),"")</f>
        <v/>
      </c>
      <c r="D94" s="27" t="str">
        <f aca="false">IF(COUNTA('Lista de Preços'!$A83:$W83)&gt;0,IF(OR(AND('Lista de Preços'!$L83&lt;&gt;"",NOT(ISNUMBER('Lista de Preços'!$L83))),AND('Lista de Preços'!$M83&lt;&gt;"",NOT(ISNUMBER('Lista de Preços'!$M83)))),"ERRO","OK"),"")</f>
        <v/>
      </c>
      <c r="E94" s="27" t="str">
        <f aca="false">IF(COUNTA('Lista de Preços'!$A83:$W83)&gt;0,IF(AND(ISNUMBER('Lista de Preços'!$L83),ISNUMBER('Lista de Preços'!$M83),'Lista de Preços'!$L83&gt;'Lista de Preços'!$M83),"ERRO","OK"),"")</f>
        <v/>
      </c>
      <c r="F94" s="27" t="str">
        <f aca="true">IF(COUNTA('Lista de Preços'!$A83:$W83)&gt;0,IF(AND('Lista de Preços'!$S83&lt;&gt;"",ISNUMBER('Lista de Preços'!$S83),'Lista de Preços'!$S83&lt;TODAY()),"ERRO","OK"),"")</f>
        <v/>
      </c>
      <c r="G94" s="27" t="str">
        <f aca="false">IF(COUNTA('Lista de Preços'!$A83:$W83)&gt;0,IF(AND('Lista de Preços'!$A83&lt;&gt;"",COUNTIF('Lista de Preços'!$A$4:$A$503,'Lista de Preços'!$A83)&gt;1),"ERRO","OK"),"")</f>
        <v/>
      </c>
      <c r="H94" s="27" t="str">
        <f aca="false">IF(COUNTA('Lista de Preços'!$A83:$W83)&gt;0,IF(AND('Lista de Preços'!$N83&lt;&gt;"",ISNUMBER('Lista de Preços'!$N83),OR('Lista de Preços'!$N83&lt;0,'Lista de Preços'!$N83&gt;0.5)),"ERRO","OK"),"")</f>
        <v/>
      </c>
      <c r="I94" s="27" t="str">
        <f aca="false">IF(COUNTA('Lista de Preços'!$A83:$W83)&gt;0,IF(OR($C94="ERRO",$D94="ERRO",$E94="ERRO",$F94="ERRO",$G94="ERRO",$H94="ERRO"),"FALHA","OK"),"")</f>
        <v/>
      </c>
    </row>
    <row r="95" customFormat="false" ht="15" hidden="false" customHeight="false" outlineLevel="0" collapsed="false">
      <c r="A95" s="26" t="n">
        <f aca="false">'Lista de Preços'!$A84</f>
        <v>0</v>
      </c>
      <c r="B95" s="26" t="n">
        <f aca="false">'Lista de Preços'!$B84</f>
        <v>0</v>
      </c>
      <c r="C95" s="27" t="str">
        <f aca="false">IF(COUNTA('Lista de Preços'!$A84:$W84)&gt;0,IF((COUNTBLANK('Lista de Preços'!$A84)+COUNTBLANK('Lista de Preços'!$B84)+COUNTBLANK('Lista de Preços'!$C84)+COUNTBLANK('Lista de Preços'!$D84)+COUNTBLANK('Lista de Preços'!$E84)+COUNTBLANK('Lista de Preços'!$F84)+COUNTBLANK('Lista de Preços'!$L84)+COUNTBLANK('Lista de Preços'!$M84)+COUNTBLANK('Lista de Preços'!$P84)+COUNTBLANK('Lista de Preços'!$U84)+COUNTBLANK('Lista de Preços'!$V84))&gt;0,"ERRO","OK"),"")</f>
        <v/>
      </c>
      <c r="D95" s="27" t="str">
        <f aca="false">IF(COUNTA('Lista de Preços'!$A84:$W84)&gt;0,IF(OR(AND('Lista de Preços'!$L84&lt;&gt;"",NOT(ISNUMBER('Lista de Preços'!$L84))),AND('Lista de Preços'!$M84&lt;&gt;"",NOT(ISNUMBER('Lista de Preços'!$M84)))),"ERRO","OK"),"")</f>
        <v/>
      </c>
      <c r="E95" s="27" t="str">
        <f aca="false">IF(COUNTA('Lista de Preços'!$A84:$W84)&gt;0,IF(AND(ISNUMBER('Lista de Preços'!$L84),ISNUMBER('Lista de Preços'!$M84),'Lista de Preços'!$L84&gt;'Lista de Preços'!$M84),"ERRO","OK"),"")</f>
        <v/>
      </c>
      <c r="F95" s="27" t="str">
        <f aca="true">IF(COUNTA('Lista de Preços'!$A84:$W84)&gt;0,IF(AND('Lista de Preços'!$S84&lt;&gt;"",ISNUMBER('Lista de Preços'!$S84),'Lista de Preços'!$S84&lt;TODAY()),"ERRO","OK"),"")</f>
        <v/>
      </c>
      <c r="G95" s="27" t="str">
        <f aca="false">IF(COUNTA('Lista de Preços'!$A84:$W84)&gt;0,IF(AND('Lista de Preços'!$A84&lt;&gt;"",COUNTIF('Lista de Preços'!$A$4:$A$503,'Lista de Preços'!$A84)&gt;1),"ERRO","OK"),"")</f>
        <v/>
      </c>
      <c r="H95" s="27" t="str">
        <f aca="false">IF(COUNTA('Lista de Preços'!$A84:$W84)&gt;0,IF(AND('Lista de Preços'!$N84&lt;&gt;"",ISNUMBER('Lista de Preços'!$N84),OR('Lista de Preços'!$N84&lt;0,'Lista de Preços'!$N84&gt;0.5)),"ERRO","OK"),"")</f>
        <v/>
      </c>
      <c r="I95" s="27" t="str">
        <f aca="false">IF(COUNTA('Lista de Preços'!$A84:$W84)&gt;0,IF(OR($C95="ERRO",$D95="ERRO",$E95="ERRO",$F95="ERRO",$G95="ERRO",$H95="ERRO"),"FALHA","OK"),"")</f>
        <v/>
      </c>
    </row>
    <row r="96" customFormat="false" ht="15" hidden="false" customHeight="false" outlineLevel="0" collapsed="false">
      <c r="A96" s="26" t="n">
        <f aca="false">'Lista de Preços'!$A85</f>
        <v>0</v>
      </c>
      <c r="B96" s="26" t="n">
        <f aca="false">'Lista de Preços'!$B85</f>
        <v>0</v>
      </c>
      <c r="C96" s="27" t="str">
        <f aca="false">IF(COUNTA('Lista de Preços'!$A85:$W85)&gt;0,IF((COUNTBLANK('Lista de Preços'!$A85)+COUNTBLANK('Lista de Preços'!$B85)+COUNTBLANK('Lista de Preços'!$C85)+COUNTBLANK('Lista de Preços'!$D85)+COUNTBLANK('Lista de Preços'!$E85)+COUNTBLANK('Lista de Preços'!$F85)+COUNTBLANK('Lista de Preços'!$L85)+COUNTBLANK('Lista de Preços'!$M85)+COUNTBLANK('Lista de Preços'!$P85)+COUNTBLANK('Lista de Preços'!$U85)+COUNTBLANK('Lista de Preços'!$V85))&gt;0,"ERRO","OK"),"")</f>
        <v/>
      </c>
      <c r="D96" s="27" t="str">
        <f aca="false">IF(COUNTA('Lista de Preços'!$A85:$W85)&gt;0,IF(OR(AND('Lista de Preços'!$L85&lt;&gt;"",NOT(ISNUMBER('Lista de Preços'!$L85))),AND('Lista de Preços'!$M85&lt;&gt;"",NOT(ISNUMBER('Lista de Preços'!$M85)))),"ERRO","OK"),"")</f>
        <v/>
      </c>
      <c r="E96" s="27" t="str">
        <f aca="false">IF(COUNTA('Lista de Preços'!$A85:$W85)&gt;0,IF(AND(ISNUMBER('Lista de Preços'!$L85),ISNUMBER('Lista de Preços'!$M85),'Lista de Preços'!$L85&gt;'Lista de Preços'!$M85),"ERRO","OK"),"")</f>
        <v/>
      </c>
      <c r="F96" s="27" t="str">
        <f aca="true">IF(COUNTA('Lista de Preços'!$A85:$W85)&gt;0,IF(AND('Lista de Preços'!$S85&lt;&gt;"",ISNUMBER('Lista de Preços'!$S85),'Lista de Preços'!$S85&lt;TODAY()),"ERRO","OK"),"")</f>
        <v/>
      </c>
      <c r="G96" s="27" t="str">
        <f aca="false">IF(COUNTA('Lista de Preços'!$A85:$W85)&gt;0,IF(AND('Lista de Preços'!$A85&lt;&gt;"",COUNTIF('Lista de Preços'!$A$4:$A$503,'Lista de Preços'!$A85)&gt;1),"ERRO","OK"),"")</f>
        <v/>
      </c>
      <c r="H96" s="27" t="str">
        <f aca="false">IF(COUNTA('Lista de Preços'!$A85:$W85)&gt;0,IF(AND('Lista de Preços'!$N85&lt;&gt;"",ISNUMBER('Lista de Preços'!$N85),OR('Lista de Preços'!$N85&lt;0,'Lista de Preços'!$N85&gt;0.5)),"ERRO","OK"),"")</f>
        <v/>
      </c>
      <c r="I96" s="27" t="str">
        <f aca="false">IF(COUNTA('Lista de Preços'!$A85:$W85)&gt;0,IF(OR($C96="ERRO",$D96="ERRO",$E96="ERRO",$F96="ERRO",$G96="ERRO",$H96="ERRO"),"FALHA","OK"),"")</f>
        <v/>
      </c>
    </row>
    <row r="97" customFormat="false" ht="15" hidden="false" customHeight="false" outlineLevel="0" collapsed="false">
      <c r="A97" s="26" t="n">
        <f aca="false">'Lista de Preços'!$A86</f>
        <v>0</v>
      </c>
      <c r="B97" s="26" t="n">
        <f aca="false">'Lista de Preços'!$B86</f>
        <v>0</v>
      </c>
      <c r="C97" s="27" t="str">
        <f aca="false">IF(COUNTA('Lista de Preços'!$A86:$W86)&gt;0,IF((COUNTBLANK('Lista de Preços'!$A86)+COUNTBLANK('Lista de Preços'!$B86)+COUNTBLANK('Lista de Preços'!$C86)+COUNTBLANK('Lista de Preços'!$D86)+COUNTBLANK('Lista de Preços'!$E86)+COUNTBLANK('Lista de Preços'!$F86)+COUNTBLANK('Lista de Preços'!$L86)+COUNTBLANK('Lista de Preços'!$M86)+COUNTBLANK('Lista de Preços'!$P86)+COUNTBLANK('Lista de Preços'!$U86)+COUNTBLANK('Lista de Preços'!$V86))&gt;0,"ERRO","OK"),"")</f>
        <v/>
      </c>
      <c r="D97" s="27" t="str">
        <f aca="false">IF(COUNTA('Lista de Preços'!$A86:$W86)&gt;0,IF(OR(AND('Lista de Preços'!$L86&lt;&gt;"",NOT(ISNUMBER('Lista de Preços'!$L86))),AND('Lista de Preços'!$M86&lt;&gt;"",NOT(ISNUMBER('Lista de Preços'!$M86)))),"ERRO","OK"),"")</f>
        <v/>
      </c>
      <c r="E97" s="27" t="str">
        <f aca="false">IF(COUNTA('Lista de Preços'!$A86:$W86)&gt;0,IF(AND(ISNUMBER('Lista de Preços'!$L86),ISNUMBER('Lista de Preços'!$M86),'Lista de Preços'!$L86&gt;'Lista de Preços'!$M86),"ERRO","OK"),"")</f>
        <v/>
      </c>
      <c r="F97" s="27" t="str">
        <f aca="true">IF(COUNTA('Lista de Preços'!$A86:$W86)&gt;0,IF(AND('Lista de Preços'!$S86&lt;&gt;"",ISNUMBER('Lista de Preços'!$S86),'Lista de Preços'!$S86&lt;TODAY()),"ERRO","OK"),"")</f>
        <v/>
      </c>
      <c r="G97" s="27" t="str">
        <f aca="false">IF(COUNTA('Lista de Preços'!$A86:$W86)&gt;0,IF(AND('Lista de Preços'!$A86&lt;&gt;"",COUNTIF('Lista de Preços'!$A$4:$A$503,'Lista de Preços'!$A86)&gt;1),"ERRO","OK"),"")</f>
        <v/>
      </c>
      <c r="H97" s="27" t="str">
        <f aca="false">IF(COUNTA('Lista de Preços'!$A86:$W86)&gt;0,IF(AND('Lista de Preços'!$N86&lt;&gt;"",ISNUMBER('Lista de Preços'!$N86),OR('Lista de Preços'!$N86&lt;0,'Lista de Preços'!$N86&gt;0.5)),"ERRO","OK"),"")</f>
        <v/>
      </c>
      <c r="I97" s="27" t="str">
        <f aca="false">IF(COUNTA('Lista de Preços'!$A86:$W86)&gt;0,IF(OR($C97="ERRO",$D97="ERRO",$E97="ERRO",$F97="ERRO",$G97="ERRO",$H97="ERRO"),"FALHA","OK"),"")</f>
        <v/>
      </c>
    </row>
    <row r="98" customFormat="false" ht="15" hidden="false" customHeight="false" outlineLevel="0" collapsed="false">
      <c r="A98" s="26" t="n">
        <f aca="false">'Lista de Preços'!$A87</f>
        <v>0</v>
      </c>
      <c r="B98" s="26" t="n">
        <f aca="false">'Lista de Preços'!$B87</f>
        <v>0</v>
      </c>
      <c r="C98" s="27" t="str">
        <f aca="false">IF(COUNTA('Lista de Preços'!$A87:$W87)&gt;0,IF((COUNTBLANK('Lista de Preços'!$A87)+COUNTBLANK('Lista de Preços'!$B87)+COUNTBLANK('Lista de Preços'!$C87)+COUNTBLANK('Lista de Preços'!$D87)+COUNTBLANK('Lista de Preços'!$E87)+COUNTBLANK('Lista de Preços'!$F87)+COUNTBLANK('Lista de Preços'!$L87)+COUNTBLANK('Lista de Preços'!$M87)+COUNTBLANK('Lista de Preços'!$P87)+COUNTBLANK('Lista de Preços'!$U87)+COUNTBLANK('Lista de Preços'!$V87))&gt;0,"ERRO","OK"),"")</f>
        <v/>
      </c>
      <c r="D98" s="27" t="str">
        <f aca="false">IF(COUNTA('Lista de Preços'!$A87:$W87)&gt;0,IF(OR(AND('Lista de Preços'!$L87&lt;&gt;"",NOT(ISNUMBER('Lista de Preços'!$L87))),AND('Lista de Preços'!$M87&lt;&gt;"",NOT(ISNUMBER('Lista de Preços'!$M87)))),"ERRO","OK"),"")</f>
        <v/>
      </c>
      <c r="E98" s="27" t="str">
        <f aca="false">IF(COUNTA('Lista de Preços'!$A87:$W87)&gt;0,IF(AND(ISNUMBER('Lista de Preços'!$L87),ISNUMBER('Lista de Preços'!$M87),'Lista de Preços'!$L87&gt;'Lista de Preços'!$M87),"ERRO","OK"),"")</f>
        <v/>
      </c>
      <c r="F98" s="27" t="str">
        <f aca="true">IF(COUNTA('Lista de Preços'!$A87:$W87)&gt;0,IF(AND('Lista de Preços'!$S87&lt;&gt;"",ISNUMBER('Lista de Preços'!$S87),'Lista de Preços'!$S87&lt;TODAY()),"ERRO","OK"),"")</f>
        <v/>
      </c>
      <c r="G98" s="27" t="str">
        <f aca="false">IF(COUNTA('Lista de Preços'!$A87:$W87)&gt;0,IF(AND('Lista de Preços'!$A87&lt;&gt;"",COUNTIF('Lista de Preços'!$A$4:$A$503,'Lista de Preços'!$A87)&gt;1),"ERRO","OK"),"")</f>
        <v/>
      </c>
      <c r="H98" s="27" t="str">
        <f aca="false">IF(COUNTA('Lista de Preços'!$A87:$W87)&gt;0,IF(AND('Lista de Preços'!$N87&lt;&gt;"",ISNUMBER('Lista de Preços'!$N87),OR('Lista de Preços'!$N87&lt;0,'Lista de Preços'!$N87&gt;0.5)),"ERRO","OK"),"")</f>
        <v/>
      </c>
      <c r="I98" s="27" t="str">
        <f aca="false">IF(COUNTA('Lista de Preços'!$A87:$W87)&gt;0,IF(OR($C98="ERRO",$D98="ERRO",$E98="ERRO",$F98="ERRO",$G98="ERRO",$H98="ERRO"),"FALHA","OK"),"")</f>
        <v/>
      </c>
    </row>
    <row r="99" customFormat="false" ht="15" hidden="false" customHeight="false" outlineLevel="0" collapsed="false">
      <c r="A99" s="26" t="n">
        <f aca="false">'Lista de Preços'!$A88</f>
        <v>0</v>
      </c>
      <c r="B99" s="26" t="n">
        <f aca="false">'Lista de Preços'!$B88</f>
        <v>0</v>
      </c>
      <c r="C99" s="27" t="str">
        <f aca="false">IF(COUNTA('Lista de Preços'!$A88:$W88)&gt;0,IF((COUNTBLANK('Lista de Preços'!$A88)+COUNTBLANK('Lista de Preços'!$B88)+COUNTBLANK('Lista de Preços'!$C88)+COUNTBLANK('Lista de Preços'!$D88)+COUNTBLANK('Lista de Preços'!$E88)+COUNTBLANK('Lista de Preços'!$F88)+COUNTBLANK('Lista de Preços'!$L88)+COUNTBLANK('Lista de Preços'!$M88)+COUNTBLANK('Lista de Preços'!$P88)+COUNTBLANK('Lista de Preços'!$U88)+COUNTBLANK('Lista de Preços'!$V88))&gt;0,"ERRO","OK"),"")</f>
        <v/>
      </c>
      <c r="D99" s="27" t="str">
        <f aca="false">IF(COUNTA('Lista de Preços'!$A88:$W88)&gt;0,IF(OR(AND('Lista de Preços'!$L88&lt;&gt;"",NOT(ISNUMBER('Lista de Preços'!$L88))),AND('Lista de Preços'!$M88&lt;&gt;"",NOT(ISNUMBER('Lista de Preços'!$M88)))),"ERRO","OK"),"")</f>
        <v/>
      </c>
      <c r="E99" s="27" t="str">
        <f aca="false">IF(COUNTA('Lista de Preços'!$A88:$W88)&gt;0,IF(AND(ISNUMBER('Lista de Preços'!$L88),ISNUMBER('Lista de Preços'!$M88),'Lista de Preços'!$L88&gt;'Lista de Preços'!$M88),"ERRO","OK"),"")</f>
        <v/>
      </c>
      <c r="F99" s="27" t="str">
        <f aca="true">IF(COUNTA('Lista de Preços'!$A88:$W88)&gt;0,IF(AND('Lista de Preços'!$S88&lt;&gt;"",ISNUMBER('Lista de Preços'!$S88),'Lista de Preços'!$S88&lt;TODAY()),"ERRO","OK"),"")</f>
        <v/>
      </c>
      <c r="G99" s="27" t="str">
        <f aca="false">IF(COUNTA('Lista de Preços'!$A88:$W88)&gt;0,IF(AND('Lista de Preços'!$A88&lt;&gt;"",COUNTIF('Lista de Preços'!$A$4:$A$503,'Lista de Preços'!$A88)&gt;1),"ERRO","OK"),"")</f>
        <v/>
      </c>
      <c r="H99" s="27" t="str">
        <f aca="false">IF(COUNTA('Lista de Preços'!$A88:$W88)&gt;0,IF(AND('Lista de Preços'!$N88&lt;&gt;"",ISNUMBER('Lista de Preços'!$N88),OR('Lista de Preços'!$N88&lt;0,'Lista de Preços'!$N88&gt;0.5)),"ERRO","OK"),"")</f>
        <v/>
      </c>
      <c r="I99" s="27" t="str">
        <f aca="false">IF(COUNTA('Lista de Preços'!$A88:$W88)&gt;0,IF(OR($C99="ERRO",$D99="ERRO",$E99="ERRO",$F99="ERRO",$G99="ERRO",$H99="ERRO"),"FALHA","OK"),"")</f>
        <v/>
      </c>
    </row>
    <row r="100" customFormat="false" ht="15" hidden="false" customHeight="false" outlineLevel="0" collapsed="false">
      <c r="A100" s="26" t="n">
        <f aca="false">'Lista de Preços'!$A89</f>
        <v>0</v>
      </c>
      <c r="B100" s="26" t="n">
        <f aca="false">'Lista de Preços'!$B89</f>
        <v>0</v>
      </c>
      <c r="C100" s="27" t="str">
        <f aca="false">IF(COUNTA('Lista de Preços'!$A89:$W89)&gt;0,IF((COUNTBLANK('Lista de Preços'!$A89)+COUNTBLANK('Lista de Preços'!$B89)+COUNTBLANK('Lista de Preços'!$C89)+COUNTBLANK('Lista de Preços'!$D89)+COUNTBLANK('Lista de Preços'!$E89)+COUNTBLANK('Lista de Preços'!$F89)+COUNTBLANK('Lista de Preços'!$L89)+COUNTBLANK('Lista de Preços'!$M89)+COUNTBLANK('Lista de Preços'!$P89)+COUNTBLANK('Lista de Preços'!$U89)+COUNTBLANK('Lista de Preços'!$V89))&gt;0,"ERRO","OK"),"")</f>
        <v/>
      </c>
      <c r="D100" s="27" t="str">
        <f aca="false">IF(COUNTA('Lista de Preços'!$A89:$W89)&gt;0,IF(OR(AND('Lista de Preços'!$L89&lt;&gt;"",NOT(ISNUMBER('Lista de Preços'!$L89))),AND('Lista de Preços'!$M89&lt;&gt;"",NOT(ISNUMBER('Lista de Preços'!$M89)))),"ERRO","OK"),"")</f>
        <v/>
      </c>
      <c r="E100" s="27" t="str">
        <f aca="false">IF(COUNTA('Lista de Preços'!$A89:$W89)&gt;0,IF(AND(ISNUMBER('Lista de Preços'!$L89),ISNUMBER('Lista de Preços'!$M89),'Lista de Preços'!$L89&gt;'Lista de Preços'!$M89),"ERRO","OK"),"")</f>
        <v/>
      </c>
      <c r="F100" s="27" t="str">
        <f aca="true">IF(COUNTA('Lista de Preços'!$A89:$W89)&gt;0,IF(AND('Lista de Preços'!$S89&lt;&gt;"",ISNUMBER('Lista de Preços'!$S89),'Lista de Preços'!$S89&lt;TODAY()),"ERRO","OK"),"")</f>
        <v/>
      </c>
      <c r="G100" s="27" t="str">
        <f aca="false">IF(COUNTA('Lista de Preços'!$A89:$W89)&gt;0,IF(AND('Lista de Preços'!$A89&lt;&gt;"",COUNTIF('Lista de Preços'!$A$4:$A$503,'Lista de Preços'!$A89)&gt;1),"ERRO","OK"),"")</f>
        <v/>
      </c>
      <c r="H100" s="27" t="str">
        <f aca="false">IF(COUNTA('Lista de Preços'!$A89:$W89)&gt;0,IF(AND('Lista de Preços'!$N89&lt;&gt;"",ISNUMBER('Lista de Preços'!$N89),OR('Lista de Preços'!$N89&lt;0,'Lista de Preços'!$N89&gt;0.5)),"ERRO","OK"),"")</f>
        <v/>
      </c>
      <c r="I100" s="27" t="str">
        <f aca="false">IF(COUNTA('Lista de Preços'!$A89:$W89)&gt;0,IF(OR($C100="ERRO",$D100="ERRO",$E100="ERRO",$F100="ERRO",$G100="ERRO",$H100="ERRO"),"FALHA","OK"),"")</f>
        <v/>
      </c>
    </row>
    <row r="101" customFormat="false" ht="15" hidden="false" customHeight="false" outlineLevel="0" collapsed="false">
      <c r="A101" s="26" t="n">
        <f aca="false">'Lista de Preços'!$A90</f>
        <v>0</v>
      </c>
      <c r="B101" s="26" t="n">
        <f aca="false">'Lista de Preços'!$B90</f>
        <v>0</v>
      </c>
      <c r="C101" s="27" t="str">
        <f aca="false">IF(COUNTA('Lista de Preços'!$A90:$W90)&gt;0,IF((COUNTBLANK('Lista de Preços'!$A90)+COUNTBLANK('Lista de Preços'!$B90)+COUNTBLANK('Lista de Preços'!$C90)+COUNTBLANK('Lista de Preços'!$D90)+COUNTBLANK('Lista de Preços'!$E90)+COUNTBLANK('Lista de Preços'!$F90)+COUNTBLANK('Lista de Preços'!$L90)+COUNTBLANK('Lista de Preços'!$M90)+COUNTBLANK('Lista de Preços'!$P90)+COUNTBLANK('Lista de Preços'!$U90)+COUNTBLANK('Lista de Preços'!$V90))&gt;0,"ERRO","OK"),"")</f>
        <v/>
      </c>
      <c r="D101" s="27" t="str">
        <f aca="false">IF(COUNTA('Lista de Preços'!$A90:$W90)&gt;0,IF(OR(AND('Lista de Preços'!$L90&lt;&gt;"",NOT(ISNUMBER('Lista de Preços'!$L90))),AND('Lista de Preços'!$M90&lt;&gt;"",NOT(ISNUMBER('Lista de Preços'!$M90)))),"ERRO","OK"),"")</f>
        <v/>
      </c>
      <c r="E101" s="27" t="str">
        <f aca="false">IF(COUNTA('Lista de Preços'!$A90:$W90)&gt;0,IF(AND(ISNUMBER('Lista de Preços'!$L90),ISNUMBER('Lista de Preços'!$M90),'Lista de Preços'!$L90&gt;'Lista de Preços'!$M90),"ERRO","OK"),"")</f>
        <v/>
      </c>
      <c r="F101" s="27" t="str">
        <f aca="true">IF(COUNTA('Lista de Preços'!$A90:$W90)&gt;0,IF(AND('Lista de Preços'!$S90&lt;&gt;"",ISNUMBER('Lista de Preços'!$S90),'Lista de Preços'!$S90&lt;TODAY()),"ERRO","OK"),"")</f>
        <v/>
      </c>
      <c r="G101" s="27" t="str">
        <f aca="false">IF(COUNTA('Lista de Preços'!$A90:$W90)&gt;0,IF(AND('Lista de Preços'!$A90&lt;&gt;"",COUNTIF('Lista de Preços'!$A$4:$A$503,'Lista de Preços'!$A90)&gt;1),"ERRO","OK"),"")</f>
        <v/>
      </c>
      <c r="H101" s="27" t="str">
        <f aca="false">IF(COUNTA('Lista de Preços'!$A90:$W90)&gt;0,IF(AND('Lista de Preços'!$N90&lt;&gt;"",ISNUMBER('Lista de Preços'!$N90),OR('Lista de Preços'!$N90&lt;0,'Lista de Preços'!$N90&gt;0.5)),"ERRO","OK"),"")</f>
        <v/>
      </c>
      <c r="I101" s="27" t="str">
        <f aca="false">IF(COUNTA('Lista de Preços'!$A90:$W90)&gt;0,IF(OR($C101="ERRO",$D101="ERRO",$E101="ERRO",$F101="ERRO",$G101="ERRO",$H101="ERRO"),"FALHA","OK"),"")</f>
        <v/>
      </c>
    </row>
    <row r="102" customFormat="false" ht="15" hidden="false" customHeight="false" outlineLevel="0" collapsed="false">
      <c r="A102" s="26" t="n">
        <f aca="false">'Lista de Preços'!$A91</f>
        <v>0</v>
      </c>
      <c r="B102" s="26" t="n">
        <f aca="false">'Lista de Preços'!$B91</f>
        <v>0</v>
      </c>
      <c r="C102" s="27" t="str">
        <f aca="false">IF(COUNTA('Lista de Preços'!$A91:$W91)&gt;0,IF((COUNTBLANK('Lista de Preços'!$A91)+COUNTBLANK('Lista de Preços'!$B91)+COUNTBLANK('Lista de Preços'!$C91)+COUNTBLANK('Lista de Preços'!$D91)+COUNTBLANK('Lista de Preços'!$E91)+COUNTBLANK('Lista de Preços'!$F91)+COUNTBLANK('Lista de Preços'!$L91)+COUNTBLANK('Lista de Preços'!$M91)+COUNTBLANK('Lista de Preços'!$P91)+COUNTBLANK('Lista de Preços'!$U91)+COUNTBLANK('Lista de Preços'!$V91))&gt;0,"ERRO","OK"),"")</f>
        <v/>
      </c>
      <c r="D102" s="27" t="str">
        <f aca="false">IF(COUNTA('Lista de Preços'!$A91:$W91)&gt;0,IF(OR(AND('Lista de Preços'!$L91&lt;&gt;"",NOT(ISNUMBER('Lista de Preços'!$L91))),AND('Lista de Preços'!$M91&lt;&gt;"",NOT(ISNUMBER('Lista de Preços'!$M91)))),"ERRO","OK"),"")</f>
        <v/>
      </c>
      <c r="E102" s="27" t="str">
        <f aca="false">IF(COUNTA('Lista de Preços'!$A91:$W91)&gt;0,IF(AND(ISNUMBER('Lista de Preços'!$L91),ISNUMBER('Lista de Preços'!$M91),'Lista de Preços'!$L91&gt;'Lista de Preços'!$M91),"ERRO","OK"),"")</f>
        <v/>
      </c>
      <c r="F102" s="27" t="str">
        <f aca="true">IF(COUNTA('Lista de Preços'!$A91:$W91)&gt;0,IF(AND('Lista de Preços'!$S91&lt;&gt;"",ISNUMBER('Lista de Preços'!$S91),'Lista de Preços'!$S91&lt;TODAY()),"ERRO","OK"),"")</f>
        <v/>
      </c>
      <c r="G102" s="27" t="str">
        <f aca="false">IF(COUNTA('Lista de Preços'!$A91:$W91)&gt;0,IF(AND('Lista de Preços'!$A91&lt;&gt;"",COUNTIF('Lista de Preços'!$A$4:$A$503,'Lista de Preços'!$A91)&gt;1),"ERRO","OK"),"")</f>
        <v/>
      </c>
      <c r="H102" s="27" t="str">
        <f aca="false">IF(COUNTA('Lista de Preços'!$A91:$W91)&gt;0,IF(AND('Lista de Preços'!$N91&lt;&gt;"",ISNUMBER('Lista de Preços'!$N91),OR('Lista de Preços'!$N91&lt;0,'Lista de Preços'!$N91&gt;0.5)),"ERRO","OK"),"")</f>
        <v/>
      </c>
      <c r="I102" s="27" t="str">
        <f aca="false">IF(COUNTA('Lista de Preços'!$A91:$W91)&gt;0,IF(OR($C102="ERRO",$D102="ERRO",$E102="ERRO",$F102="ERRO",$G102="ERRO",$H102="ERRO"),"FALHA","OK"),"")</f>
        <v/>
      </c>
    </row>
    <row r="103" customFormat="false" ht="15" hidden="false" customHeight="false" outlineLevel="0" collapsed="false">
      <c r="A103" s="26" t="n">
        <f aca="false">'Lista de Preços'!$A92</f>
        <v>0</v>
      </c>
      <c r="B103" s="26" t="n">
        <f aca="false">'Lista de Preços'!$B92</f>
        <v>0</v>
      </c>
      <c r="C103" s="27" t="str">
        <f aca="false">IF(COUNTA('Lista de Preços'!$A92:$W92)&gt;0,IF((COUNTBLANK('Lista de Preços'!$A92)+COUNTBLANK('Lista de Preços'!$B92)+COUNTBLANK('Lista de Preços'!$C92)+COUNTBLANK('Lista de Preços'!$D92)+COUNTBLANK('Lista de Preços'!$E92)+COUNTBLANK('Lista de Preços'!$F92)+COUNTBLANK('Lista de Preços'!$L92)+COUNTBLANK('Lista de Preços'!$M92)+COUNTBLANK('Lista de Preços'!$P92)+COUNTBLANK('Lista de Preços'!$U92)+COUNTBLANK('Lista de Preços'!$V92))&gt;0,"ERRO","OK"),"")</f>
        <v/>
      </c>
      <c r="D103" s="27" t="str">
        <f aca="false">IF(COUNTA('Lista de Preços'!$A92:$W92)&gt;0,IF(OR(AND('Lista de Preços'!$L92&lt;&gt;"",NOT(ISNUMBER('Lista de Preços'!$L92))),AND('Lista de Preços'!$M92&lt;&gt;"",NOT(ISNUMBER('Lista de Preços'!$M92)))),"ERRO","OK"),"")</f>
        <v/>
      </c>
      <c r="E103" s="27" t="str">
        <f aca="false">IF(COUNTA('Lista de Preços'!$A92:$W92)&gt;0,IF(AND(ISNUMBER('Lista de Preços'!$L92),ISNUMBER('Lista de Preços'!$M92),'Lista de Preços'!$L92&gt;'Lista de Preços'!$M92),"ERRO","OK"),"")</f>
        <v/>
      </c>
      <c r="F103" s="27" t="str">
        <f aca="true">IF(COUNTA('Lista de Preços'!$A92:$W92)&gt;0,IF(AND('Lista de Preços'!$S92&lt;&gt;"",ISNUMBER('Lista de Preços'!$S92),'Lista de Preços'!$S92&lt;TODAY()),"ERRO","OK"),"")</f>
        <v/>
      </c>
      <c r="G103" s="27" t="str">
        <f aca="false">IF(COUNTA('Lista de Preços'!$A92:$W92)&gt;0,IF(AND('Lista de Preços'!$A92&lt;&gt;"",COUNTIF('Lista de Preços'!$A$4:$A$503,'Lista de Preços'!$A92)&gt;1),"ERRO","OK"),"")</f>
        <v/>
      </c>
      <c r="H103" s="27" t="str">
        <f aca="false">IF(COUNTA('Lista de Preços'!$A92:$W92)&gt;0,IF(AND('Lista de Preços'!$N92&lt;&gt;"",ISNUMBER('Lista de Preços'!$N92),OR('Lista de Preços'!$N92&lt;0,'Lista de Preços'!$N92&gt;0.5)),"ERRO","OK"),"")</f>
        <v/>
      </c>
      <c r="I103" s="27" t="str">
        <f aca="false">IF(COUNTA('Lista de Preços'!$A92:$W92)&gt;0,IF(OR($C103="ERRO",$D103="ERRO",$E103="ERRO",$F103="ERRO",$G103="ERRO",$H103="ERRO"),"FALHA","OK"),"")</f>
        <v/>
      </c>
    </row>
    <row r="104" customFormat="false" ht="15" hidden="false" customHeight="false" outlineLevel="0" collapsed="false">
      <c r="A104" s="26" t="n">
        <f aca="false">'Lista de Preços'!$A93</f>
        <v>0</v>
      </c>
      <c r="B104" s="26" t="n">
        <f aca="false">'Lista de Preços'!$B93</f>
        <v>0</v>
      </c>
      <c r="C104" s="27" t="str">
        <f aca="false">IF(COUNTA('Lista de Preços'!$A93:$W93)&gt;0,IF((COUNTBLANK('Lista de Preços'!$A93)+COUNTBLANK('Lista de Preços'!$B93)+COUNTBLANK('Lista de Preços'!$C93)+COUNTBLANK('Lista de Preços'!$D93)+COUNTBLANK('Lista de Preços'!$E93)+COUNTBLANK('Lista de Preços'!$F93)+COUNTBLANK('Lista de Preços'!$L93)+COUNTBLANK('Lista de Preços'!$M93)+COUNTBLANK('Lista de Preços'!$P93)+COUNTBLANK('Lista de Preços'!$U93)+COUNTBLANK('Lista de Preços'!$V93))&gt;0,"ERRO","OK"),"")</f>
        <v/>
      </c>
      <c r="D104" s="27" t="str">
        <f aca="false">IF(COUNTA('Lista de Preços'!$A93:$W93)&gt;0,IF(OR(AND('Lista de Preços'!$L93&lt;&gt;"",NOT(ISNUMBER('Lista de Preços'!$L93))),AND('Lista de Preços'!$M93&lt;&gt;"",NOT(ISNUMBER('Lista de Preços'!$M93)))),"ERRO","OK"),"")</f>
        <v/>
      </c>
      <c r="E104" s="27" t="str">
        <f aca="false">IF(COUNTA('Lista de Preços'!$A93:$W93)&gt;0,IF(AND(ISNUMBER('Lista de Preços'!$L93),ISNUMBER('Lista de Preços'!$M93),'Lista de Preços'!$L93&gt;'Lista de Preços'!$M93),"ERRO","OK"),"")</f>
        <v/>
      </c>
      <c r="F104" s="27" t="str">
        <f aca="true">IF(COUNTA('Lista de Preços'!$A93:$W93)&gt;0,IF(AND('Lista de Preços'!$S93&lt;&gt;"",ISNUMBER('Lista de Preços'!$S93),'Lista de Preços'!$S93&lt;TODAY()),"ERRO","OK"),"")</f>
        <v/>
      </c>
      <c r="G104" s="27" t="str">
        <f aca="false">IF(COUNTA('Lista de Preços'!$A93:$W93)&gt;0,IF(AND('Lista de Preços'!$A93&lt;&gt;"",COUNTIF('Lista de Preços'!$A$4:$A$503,'Lista de Preços'!$A93)&gt;1),"ERRO","OK"),"")</f>
        <v/>
      </c>
      <c r="H104" s="27" t="str">
        <f aca="false">IF(COUNTA('Lista de Preços'!$A93:$W93)&gt;0,IF(AND('Lista de Preços'!$N93&lt;&gt;"",ISNUMBER('Lista de Preços'!$N93),OR('Lista de Preços'!$N93&lt;0,'Lista de Preços'!$N93&gt;0.5)),"ERRO","OK"),"")</f>
        <v/>
      </c>
      <c r="I104" s="27" t="str">
        <f aca="false">IF(COUNTA('Lista de Preços'!$A93:$W93)&gt;0,IF(OR($C104="ERRO",$D104="ERRO",$E104="ERRO",$F104="ERRO",$G104="ERRO",$H104="ERRO"),"FALHA","OK"),"")</f>
        <v/>
      </c>
    </row>
    <row r="105" customFormat="false" ht="15" hidden="false" customHeight="false" outlineLevel="0" collapsed="false">
      <c r="A105" s="26" t="n">
        <f aca="false">'Lista de Preços'!$A94</f>
        <v>0</v>
      </c>
      <c r="B105" s="26" t="n">
        <f aca="false">'Lista de Preços'!$B94</f>
        <v>0</v>
      </c>
      <c r="C105" s="27" t="str">
        <f aca="false">IF(COUNTA('Lista de Preços'!$A94:$W94)&gt;0,IF((COUNTBLANK('Lista de Preços'!$A94)+COUNTBLANK('Lista de Preços'!$B94)+COUNTBLANK('Lista de Preços'!$C94)+COUNTBLANK('Lista de Preços'!$D94)+COUNTBLANK('Lista de Preços'!$E94)+COUNTBLANK('Lista de Preços'!$F94)+COUNTBLANK('Lista de Preços'!$L94)+COUNTBLANK('Lista de Preços'!$M94)+COUNTBLANK('Lista de Preços'!$P94)+COUNTBLANK('Lista de Preços'!$U94)+COUNTBLANK('Lista de Preços'!$V94))&gt;0,"ERRO","OK"),"")</f>
        <v/>
      </c>
      <c r="D105" s="27" t="str">
        <f aca="false">IF(COUNTA('Lista de Preços'!$A94:$W94)&gt;0,IF(OR(AND('Lista de Preços'!$L94&lt;&gt;"",NOT(ISNUMBER('Lista de Preços'!$L94))),AND('Lista de Preços'!$M94&lt;&gt;"",NOT(ISNUMBER('Lista de Preços'!$M94)))),"ERRO","OK"),"")</f>
        <v/>
      </c>
      <c r="E105" s="27" t="str">
        <f aca="false">IF(COUNTA('Lista de Preços'!$A94:$W94)&gt;0,IF(AND(ISNUMBER('Lista de Preços'!$L94),ISNUMBER('Lista de Preços'!$M94),'Lista de Preços'!$L94&gt;'Lista de Preços'!$M94),"ERRO","OK"),"")</f>
        <v/>
      </c>
      <c r="F105" s="27" t="str">
        <f aca="true">IF(COUNTA('Lista de Preços'!$A94:$W94)&gt;0,IF(AND('Lista de Preços'!$S94&lt;&gt;"",ISNUMBER('Lista de Preços'!$S94),'Lista de Preços'!$S94&lt;TODAY()),"ERRO","OK"),"")</f>
        <v/>
      </c>
      <c r="G105" s="27" t="str">
        <f aca="false">IF(COUNTA('Lista de Preços'!$A94:$W94)&gt;0,IF(AND('Lista de Preços'!$A94&lt;&gt;"",COUNTIF('Lista de Preços'!$A$4:$A$503,'Lista de Preços'!$A94)&gt;1),"ERRO","OK"),"")</f>
        <v/>
      </c>
      <c r="H105" s="27" t="str">
        <f aca="false">IF(COUNTA('Lista de Preços'!$A94:$W94)&gt;0,IF(AND('Lista de Preços'!$N94&lt;&gt;"",ISNUMBER('Lista de Preços'!$N94),OR('Lista de Preços'!$N94&lt;0,'Lista de Preços'!$N94&gt;0.5)),"ERRO","OK"),"")</f>
        <v/>
      </c>
      <c r="I105" s="27" t="str">
        <f aca="false">IF(COUNTA('Lista de Preços'!$A94:$W94)&gt;0,IF(OR($C105="ERRO",$D105="ERRO",$E105="ERRO",$F105="ERRO",$G105="ERRO",$H105="ERRO"),"FALHA","OK"),"")</f>
        <v/>
      </c>
    </row>
    <row r="106" customFormat="false" ht="15" hidden="false" customHeight="false" outlineLevel="0" collapsed="false">
      <c r="A106" s="26" t="n">
        <f aca="false">'Lista de Preços'!$A95</f>
        <v>0</v>
      </c>
      <c r="B106" s="26" t="n">
        <f aca="false">'Lista de Preços'!$B95</f>
        <v>0</v>
      </c>
      <c r="C106" s="27" t="str">
        <f aca="false">IF(COUNTA('Lista de Preços'!$A95:$W95)&gt;0,IF((COUNTBLANK('Lista de Preços'!$A95)+COUNTBLANK('Lista de Preços'!$B95)+COUNTBLANK('Lista de Preços'!$C95)+COUNTBLANK('Lista de Preços'!$D95)+COUNTBLANK('Lista de Preços'!$E95)+COUNTBLANK('Lista de Preços'!$F95)+COUNTBLANK('Lista de Preços'!$L95)+COUNTBLANK('Lista de Preços'!$M95)+COUNTBLANK('Lista de Preços'!$P95)+COUNTBLANK('Lista de Preços'!$U95)+COUNTBLANK('Lista de Preços'!$V95))&gt;0,"ERRO","OK"),"")</f>
        <v/>
      </c>
      <c r="D106" s="27" t="str">
        <f aca="false">IF(COUNTA('Lista de Preços'!$A95:$W95)&gt;0,IF(OR(AND('Lista de Preços'!$L95&lt;&gt;"",NOT(ISNUMBER('Lista de Preços'!$L95))),AND('Lista de Preços'!$M95&lt;&gt;"",NOT(ISNUMBER('Lista de Preços'!$M95)))),"ERRO","OK"),"")</f>
        <v/>
      </c>
      <c r="E106" s="27" t="str">
        <f aca="false">IF(COUNTA('Lista de Preços'!$A95:$W95)&gt;0,IF(AND(ISNUMBER('Lista de Preços'!$L95),ISNUMBER('Lista de Preços'!$M95),'Lista de Preços'!$L95&gt;'Lista de Preços'!$M95),"ERRO","OK"),"")</f>
        <v/>
      </c>
      <c r="F106" s="27" t="str">
        <f aca="true">IF(COUNTA('Lista de Preços'!$A95:$W95)&gt;0,IF(AND('Lista de Preços'!$S95&lt;&gt;"",ISNUMBER('Lista de Preços'!$S95),'Lista de Preços'!$S95&lt;TODAY()),"ERRO","OK"),"")</f>
        <v/>
      </c>
      <c r="G106" s="27" t="str">
        <f aca="false">IF(COUNTA('Lista de Preços'!$A95:$W95)&gt;0,IF(AND('Lista de Preços'!$A95&lt;&gt;"",COUNTIF('Lista de Preços'!$A$4:$A$503,'Lista de Preços'!$A95)&gt;1),"ERRO","OK"),"")</f>
        <v/>
      </c>
      <c r="H106" s="27" t="str">
        <f aca="false">IF(COUNTA('Lista de Preços'!$A95:$W95)&gt;0,IF(AND('Lista de Preços'!$N95&lt;&gt;"",ISNUMBER('Lista de Preços'!$N95),OR('Lista de Preços'!$N95&lt;0,'Lista de Preços'!$N95&gt;0.5)),"ERRO","OK"),"")</f>
        <v/>
      </c>
      <c r="I106" s="27" t="str">
        <f aca="false">IF(COUNTA('Lista de Preços'!$A95:$W95)&gt;0,IF(OR($C106="ERRO",$D106="ERRO",$E106="ERRO",$F106="ERRO",$G106="ERRO",$H106="ERRO"),"FALHA","OK"),"")</f>
        <v/>
      </c>
    </row>
    <row r="107" customFormat="false" ht="15" hidden="false" customHeight="false" outlineLevel="0" collapsed="false">
      <c r="A107" s="26" t="n">
        <f aca="false">'Lista de Preços'!$A96</f>
        <v>0</v>
      </c>
      <c r="B107" s="26" t="n">
        <f aca="false">'Lista de Preços'!$B96</f>
        <v>0</v>
      </c>
      <c r="C107" s="27" t="str">
        <f aca="false">IF(COUNTA('Lista de Preços'!$A96:$W96)&gt;0,IF((COUNTBLANK('Lista de Preços'!$A96)+COUNTBLANK('Lista de Preços'!$B96)+COUNTBLANK('Lista de Preços'!$C96)+COUNTBLANK('Lista de Preços'!$D96)+COUNTBLANK('Lista de Preços'!$E96)+COUNTBLANK('Lista de Preços'!$F96)+COUNTBLANK('Lista de Preços'!$L96)+COUNTBLANK('Lista de Preços'!$M96)+COUNTBLANK('Lista de Preços'!$P96)+COUNTBLANK('Lista de Preços'!$U96)+COUNTBLANK('Lista de Preços'!$V96))&gt;0,"ERRO","OK"),"")</f>
        <v/>
      </c>
      <c r="D107" s="27" t="str">
        <f aca="false">IF(COUNTA('Lista de Preços'!$A96:$W96)&gt;0,IF(OR(AND('Lista de Preços'!$L96&lt;&gt;"",NOT(ISNUMBER('Lista de Preços'!$L96))),AND('Lista de Preços'!$M96&lt;&gt;"",NOT(ISNUMBER('Lista de Preços'!$M96)))),"ERRO","OK"),"")</f>
        <v/>
      </c>
      <c r="E107" s="27" t="str">
        <f aca="false">IF(COUNTA('Lista de Preços'!$A96:$W96)&gt;0,IF(AND(ISNUMBER('Lista de Preços'!$L96),ISNUMBER('Lista de Preços'!$M96),'Lista de Preços'!$L96&gt;'Lista de Preços'!$M96),"ERRO","OK"),"")</f>
        <v/>
      </c>
      <c r="F107" s="27" t="str">
        <f aca="true">IF(COUNTA('Lista de Preços'!$A96:$W96)&gt;0,IF(AND('Lista de Preços'!$S96&lt;&gt;"",ISNUMBER('Lista de Preços'!$S96),'Lista de Preços'!$S96&lt;TODAY()),"ERRO","OK"),"")</f>
        <v/>
      </c>
      <c r="G107" s="27" t="str">
        <f aca="false">IF(COUNTA('Lista de Preços'!$A96:$W96)&gt;0,IF(AND('Lista de Preços'!$A96&lt;&gt;"",COUNTIF('Lista de Preços'!$A$4:$A$503,'Lista de Preços'!$A96)&gt;1),"ERRO","OK"),"")</f>
        <v/>
      </c>
      <c r="H107" s="27" t="str">
        <f aca="false">IF(COUNTA('Lista de Preços'!$A96:$W96)&gt;0,IF(AND('Lista de Preços'!$N96&lt;&gt;"",ISNUMBER('Lista de Preços'!$N96),OR('Lista de Preços'!$N96&lt;0,'Lista de Preços'!$N96&gt;0.5)),"ERRO","OK"),"")</f>
        <v/>
      </c>
      <c r="I107" s="27" t="str">
        <f aca="false">IF(COUNTA('Lista de Preços'!$A96:$W96)&gt;0,IF(OR($C107="ERRO",$D107="ERRO",$E107="ERRO",$F107="ERRO",$G107="ERRO",$H107="ERRO"),"FALHA","OK"),"")</f>
        <v/>
      </c>
    </row>
    <row r="108" customFormat="false" ht="15" hidden="false" customHeight="false" outlineLevel="0" collapsed="false">
      <c r="A108" s="26" t="n">
        <f aca="false">'Lista de Preços'!$A97</f>
        <v>0</v>
      </c>
      <c r="B108" s="26" t="n">
        <f aca="false">'Lista de Preços'!$B97</f>
        <v>0</v>
      </c>
      <c r="C108" s="27" t="str">
        <f aca="false">IF(COUNTA('Lista de Preços'!$A97:$W97)&gt;0,IF((COUNTBLANK('Lista de Preços'!$A97)+COUNTBLANK('Lista de Preços'!$B97)+COUNTBLANK('Lista de Preços'!$C97)+COUNTBLANK('Lista de Preços'!$D97)+COUNTBLANK('Lista de Preços'!$E97)+COUNTBLANK('Lista de Preços'!$F97)+COUNTBLANK('Lista de Preços'!$L97)+COUNTBLANK('Lista de Preços'!$M97)+COUNTBLANK('Lista de Preços'!$P97)+COUNTBLANK('Lista de Preços'!$U97)+COUNTBLANK('Lista de Preços'!$V97))&gt;0,"ERRO","OK"),"")</f>
        <v/>
      </c>
      <c r="D108" s="27" t="str">
        <f aca="false">IF(COUNTA('Lista de Preços'!$A97:$W97)&gt;0,IF(OR(AND('Lista de Preços'!$L97&lt;&gt;"",NOT(ISNUMBER('Lista de Preços'!$L97))),AND('Lista de Preços'!$M97&lt;&gt;"",NOT(ISNUMBER('Lista de Preços'!$M97)))),"ERRO","OK"),"")</f>
        <v/>
      </c>
      <c r="E108" s="27" t="str">
        <f aca="false">IF(COUNTA('Lista de Preços'!$A97:$W97)&gt;0,IF(AND(ISNUMBER('Lista de Preços'!$L97),ISNUMBER('Lista de Preços'!$M97),'Lista de Preços'!$L97&gt;'Lista de Preços'!$M97),"ERRO","OK"),"")</f>
        <v/>
      </c>
      <c r="F108" s="27" t="str">
        <f aca="true">IF(COUNTA('Lista de Preços'!$A97:$W97)&gt;0,IF(AND('Lista de Preços'!$S97&lt;&gt;"",ISNUMBER('Lista de Preços'!$S97),'Lista de Preços'!$S97&lt;TODAY()),"ERRO","OK"),"")</f>
        <v/>
      </c>
      <c r="G108" s="27" t="str">
        <f aca="false">IF(COUNTA('Lista de Preços'!$A97:$W97)&gt;0,IF(AND('Lista de Preços'!$A97&lt;&gt;"",COUNTIF('Lista de Preços'!$A$4:$A$503,'Lista de Preços'!$A97)&gt;1),"ERRO","OK"),"")</f>
        <v/>
      </c>
      <c r="H108" s="27" t="str">
        <f aca="false">IF(COUNTA('Lista de Preços'!$A97:$W97)&gt;0,IF(AND('Lista de Preços'!$N97&lt;&gt;"",ISNUMBER('Lista de Preços'!$N97),OR('Lista de Preços'!$N97&lt;0,'Lista de Preços'!$N97&gt;0.5)),"ERRO","OK"),"")</f>
        <v/>
      </c>
      <c r="I108" s="27" t="str">
        <f aca="false">IF(COUNTA('Lista de Preços'!$A97:$W97)&gt;0,IF(OR($C108="ERRO",$D108="ERRO",$E108="ERRO",$F108="ERRO",$G108="ERRO",$H108="ERRO"),"FALHA","OK"),"")</f>
        <v/>
      </c>
    </row>
    <row r="109" customFormat="false" ht="15" hidden="false" customHeight="false" outlineLevel="0" collapsed="false">
      <c r="A109" s="26" t="n">
        <f aca="false">'Lista de Preços'!$A98</f>
        <v>0</v>
      </c>
      <c r="B109" s="26" t="n">
        <f aca="false">'Lista de Preços'!$B98</f>
        <v>0</v>
      </c>
      <c r="C109" s="27" t="str">
        <f aca="false">IF(COUNTA('Lista de Preços'!$A98:$W98)&gt;0,IF((COUNTBLANK('Lista de Preços'!$A98)+COUNTBLANK('Lista de Preços'!$B98)+COUNTBLANK('Lista de Preços'!$C98)+COUNTBLANK('Lista de Preços'!$D98)+COUNTBLANK('Lista de Preços'!$E98)+COUNTBLANK('Lista de Preços'!$F98)+COUNTBLANK('Lista de Preços'!$L98)+COUNTBLANK('Lista de Preços'!$M98)+COUNTBLANK('Lista de Preços'!$P98)+COUNTBLANK('Lista de Preços'!$U98)+COUNTBLANK('Lista de Preços'!$V98))&gt;0,"ERRO","OK"),"")</f>
        <v/>
      </c>
      <c r="D109" s="27" t="str">
        <f aca="false">IF(COUNTA('Lista de Preços'!$A98:$W98)&gt;0,IF(OR(AND('Lista de Preços'!$L98&lt;&gt;"",NOT(ISNUMBER('Lista de Preços'!$L98))),AND('Lista de Preços'!$M98&lt;&gt;"",NOT(ISNUMBER('Lista de Preços'!$M98)))),"ERRO","OK"),"")</f>
        <v/>
      </c>
      <c r="E109" s="27" t="str">
        <f aca="false">IF(COUNTA('Lista de Preços'!$A98:$W98)&gt;0,IF(AND(ISNUMBER('Lista de Preços'!$L98),ISNUMBER('Lista de Preços'!$M98),'Lista de Preços'!$L98&gt;'Lista de Preços'!$M98),"ERRO","OK"),"")</f>
        <v/>
      </c>
      <c r="F109" s="27" t="str">
        <f aca="true">IF(COUNTA('Lista de Preços'!$A98:$W98)&gt;0,IF(AND('Lista de Preços'!$S98&lt;&gt;"",ISNUMBER('Lista de Preços'!$S98),'Lista de Preços'!$S98&lt;TODAY()),"ERRO","OK"),"")</f>
        <v/>
      </c>
      <c r="G109" s="27" t="str">
        <f aca="false">IF(COUNTA('Lista de Preços'!$A98:$W98)&gt;0,IF(AND('Lista de Preços'!$A98&lt;&gt;"",COUNTIF('Lista de Preços'!$A$4:$A$503,'Lista de Preços'!$A98)&gt;1),"ERRO","OK"),"")</f>
        <v/>
      </c>
      <c r="H109" s="27" t="str">
        <f aca="false">IF(COUNTA('Lista de Preços'!$A98:$W98)&gt;0,IF(AND('Lista de Preços'!$N98&lt;&gt;"",ISNUMBER('Lista de Preços'!$N98),OR('Lista de Preços'!$N98&lt;0,'Lista de Preços'!$N98&gt;0.5)),"ERRO","OK"),"")</f>
        <v/>
      </c>
      <c r="I109" s="27" t="str">
        <f aca="false">IF(COUNTA('Lista de Preços'!$A98:$W98)&gt;0,IF(OR($C109="ERRO",$D109="ERRO",$E109="ERRO",$F109="ERRO",$G109="ERRO",$H109="ERRO"),"FALHA","OK"),"")</f>
        <v/>
      </c>
    </row>
    <row r="110" customFormat="false" ht="15" hidden="false" customHeight="false" outlineLevel="0" collapsed="false">
      <c r="A110" s="26" t="n">
        <f aca="false">'Lista de Preços'!$A99</f>
        <v>0</v>
      </c>
      <c r="B110" s="26" t="n">
        <f aca="false">'Lista de Preços'!$B99</f>
        <v>0</v>
      </c>
      <c r="C110" s="27" t="str">
        <f aca="false">IF(COUNTA('Lista de Preços'!$A99:$W99)&gt;0,IF((COUNTBLANK('Lista de Preços'!$A99)+COUNTBLANK('Lista de Preços'!$B99)+COUNTBLANK('Lista de Preços'!$C99)+COUNTBLANK('Lista de Preços'!$D99)+COUNTBLANK('Lista de Preços'!$E99)+COUNTBLANK('Lista de Preços'!$F99)+COUNTBLANK('Lista de Preços'!$L99)+COUNTBLANK('Lista de Preços'!$M99)+COUNTBLANK('Lista de Preços'!$P99)+COUNTBLANK('Lista de Preços'!$U99)+COUNTBLANK('Lista de Preços'!$V99))&gt;0,"ERRO","OK"),"")</f>
        <v/>
      </c>
      <c r="D110" s="27" t="str">
        <f aca="false">IF(COUNTA('Lista de Preços'!$A99:$W99)&gt;0,IF(OR(AND('Lista de Preços'!$L99&lt;&gt;"",NOT(ISNUMBER('Lista de Preços'!$L99))),AND('Lista de Preços'!$M99&lt;&gt;"",NOT(ISNUMBER('Lista de Preços'!$M99)))),"ERRO","OK"),"")</f>
        <v/>
      </c>
      <c r="E110" s="27" t="str">
        <f aca="false">IF(COUNTA('Lista de Preços'!$A99:$W99)&gt;0,IF(AND(ISNUMBER('Lista de Preços'!$L99),ISNUMBER('Lista de Preços'!$M99),'Lista de Preços'!$L99&gt;'Lista de Preços'!$M99),"ERRO","OK"),"")</f>
        <v/>
      </c>
      <c r="F110" s="27" t="str">
        <f aca="true">IF(COUNTA('Lista de Preços'!$A99:$W99)&gt;0,IF(AND('Lista de Preços'!$S99&lt;&gt;"",ISNUMBER('Lista de Preços'!$S99),'Lista de Preços'!$S99&lt;TODAY()),"ERRO","OK"),"")</f>
        <v/>
      </c>
      <c r="G110" s="27" t="str">
        <f aca="false">IF(COUNTA('Lista de Preços'!$A99:$W99)&gt;0,IF(AND('Lista de Preços'!$A99&lt;&gt;"",COUNTIF('Lista de Preços'!$A$4:$A$503,'Lista de Preços'!$A99)&gt;1),"ERRO","OK"),"")</f>
        <v/>
      </c>
      <c r="H110" s="27" t="str">
        <f aca="false">IF(COUNTA('Lista de Preços'!$A99:$W99)&gt;0,IF(AND('Lista de Preços'!$N99&lt;&gt;"",ISNUMBER('Lista de Preços'!$N99),OR('Lista de Preços'!$N99&lt;0,'Lista de Preços'!$N99&gt;0.5)),"ERRO","OK"),"")</f>
        <v/>
      </c>
      <c r="I110" s="27" t="str">
        <f aca="false">IF(COUNTA('Lista de Preços'!$A99:$W99)&gt;0,IF(OR($C110="ERRO",$D110="ERRO",$E110="ERRO",$F110="ERRO",$G110="ERRO",$H110="ERRO"),"FALHA","OK"),"")</f>
        <v/>
      </c>
    </row>
    <row r="111" customFormat="false" ht="15" hidden="false" customHeight="false" outlineLevel="0" collapsed="false">
      <c r="A111" s="26" t="n">
        <f aca="false">'Lista de Preços'!$A100</f>
        <v>0</v>
      </c>
      <c r="B111" s="26" t="n">
        <f aca="false">'Lista de Preços'!$B100</f>
        <v>0</v>
      </c>
      <c r="C111" s="27" t="str">
        <f aca="false">IF(COUNTA('Lista de Preços'!$A100:$W100)&gt;0,IF((COUNTBLANK('Lista de Preços'!$A100)+COUNTBLANK('Lista de Preços'!$B100)+COUNTBLANK('Lista de Preços'!$C100)+COUNTBLANK('Lista de Preços'!$D100)+COUNTBLANK('Lista de Preços'!$E100)+COUNTBLANK('Lista de Preços'!$F100)+COUNTBLANK('Lista de Preços'!$L100)+COUNTBLANK('Lista de Preços'!$M100)+COUNTBLANK('Lista de Preços'!$P100)+COUNTBLANK('Lista de Preços'!$U100)+COUNTBLANK('Lista de Preços'!$V100))&gt;0,"ERRO","OK"),"")</f>
        <v/>
      </c>
      <c r="D111" s="27" t="str">
        <f aca="false">IF(COUNTA('Lista de Preços'!$A100:$W100)&gt;0,IF(OR(AND('Lista de Preços'!$L100&lt;&gt;"",NOT(ISNUMBER('Lista de Preços'!$L100))),AND('Lista de Preços'!$M100&lt;&gt;"",NOT(ISNUMBER('Lista de Preços'!$M100)))),"ERRO","OK"),"")</f>
        <v/>
      </c>
      <c r="E111" s="27" t="str">
        <f aca="false">IF(COUNTA('Lista de Preços'!$A100:$W100)&gt;0,IF(AND(ISNUMBER('Lista de Preços'!$L100),ISNUMBER('Lista de Preços'!$M100),'Lista de Preços'!$L100&gt;'Lista de Preços'!$M100),"ERRO","OK"),"")</f>
        <v/>
      </c>
      <c r="F111" s="27" t="str">
        <f aca="true">IF(COUNTA('Lista de Preços'!$A100:$W100)&gt;0,IF(AND('Lista de Preços'!$S100&lt;&gt;"",ISNUMBER('Lista de Preços'!$S100),'Lista de Preços'!$S100&lt;TODAY()),"ERRO","OK"),"")</f>
        <v/>
      </c>
      <c r="G111" s="27" t="str">
        <f aca="false">IF(COUNTA('Lista de Preços'!$A100:$W100)&gt;0,IF(AND('Lista de Preços'!$A100&lt;&gt;"",COUNTIF('Lista de Preços'!$A$4:$A$503,'Lista de Preços'!$A100)&gt;1),"ERRO","OK"),"")</f>
        <v/>
      </c>
      <c r="H111" s="27" t="str">
        <f aca="false">IF(COUNTA('Lista de Preços'!$A100:$W100)&gt;0,IF(AND('Lista de Preços'!$N100&lt;&gt;"",ISNUMBER('Lista de Preços'!$N100),OR('Lista de Preços'!$N100&lt;0,'Lista de Preços'!$N100&gt;0.5)),"ERRO","OK"),"")</f>
        <v/>
      </c>
      <c r="I111" s="27" t="str">
        <f aca="false">IF(COUNTA('Lista de Preços'!$A100:$W100)&gt;0,IF(OR($C111="ERRO",$D111="ERRO",$E111="ERRO",$F111="ERRO",$G111="ERRO",$H111="ERRO"),"FALHA","OK"),"")</f>
        <v/>
      </c>
    </row>
    <row r="112" customFormat="false" ht="15" hidden="false" customHeight="false" outlineLevel="0" collapsed="false">
      <c r="A112" s="26" t="n">
        <f aca="false">'Lista de Preços'!$A101</f>
        <v>0</v>
      </c>
      <c r="B112" s="26" t="n">
        <f aca="false">'Lista de Preços'!$B101</f>
        <v>0</v>
      </c>
      <c r="C112" s="27" t="str">
        <f aca="false">IF(COUNTA('Lista de Preços'!$A101:$W101)&gt;0,IF((COUNTBLANK('Lista de Preços'!$A101)+COUNTBLANK('Lista de Preços'!$B101)+COUNTBLANK('Lista de Preços'!$C101)+COUNTBLANK('Lista de Preços'!$D101)+COUNTBLANK('Lista de Preços'!$E101)+COUNTBLANK('Lista de Preços'!$F101)+COUNTBLANK('Lista de Preços'!$L101)+COUNTBLANK('Lista de Preços'!$M101)+COUNTBLANK('Lista de Preços'!$P101)+COUNTBLANK('Lista de Preços'!$U101)+COUNTBLANK('Lista de Preços'!$V101))&gt;0,"ERRO","OK"),"")</f>
        <v/>
      </c>
      <c r="D112" s="27" t="str">
        <f aca="false">IF(COUNTA('Lista de Preços'!$A101:$W101)&gt;0,IF(OR(AND('Lista de Preços'!$L101&lt;&gt;"",NOT(ISNUMBER('Lista de Preços'!$L101))),AND('Lista de Preços'!$M101&lt;&gt;"",NOT(ISNUMBER('Lista de Preços'!$M101)))),"ERRO","OK"),"")</f>
        <v/>
      </c>
      <c r="E112" s="27" t="str">
        <f aca="false">IF(COUNTA('Lista de Preços'!$A101:$W101)&gt;0,IF(AND(ISNUMBER('Lista de Preços'!$L101),ISNUMBER('Lista de Preços'!$M101),'Lista de Preços'!$L101&gt;'Lista de Preços'!$M101),"ERRO","OK"),"")</f>
        <v/>
      </c>
      <c r="F112" s="27" t="str">
        <f aca="true">IF(COUNTA('Lista de Preços'!$A101:$W101)&gt;0,IF(AND('Lista de Preços'!$S101&lt;&gt;"",ISNUMBER('Lista de Preços'!$S101),'Lista de Preços'!$S101&lt;TODAY()),"ERRO","OK"),"")</f>
        <v/>
      </c>
      <c r="G112" s="27" t="str">
        <f aca="false">IF(COUNTA('Lista de Preços'!$A101:$W101)&gt;0,IF(AND('Lista de Preços'!$A101&lt;&gt;"",COUNTIF('Lista de Preços'!$A$4:$A$503,'Lista de Preços'!$A101)&gt;1),"ERRO","OK"),"")</f>
        <v/>
      </c>
      <c r="H112" s="27" t="str">
        <f aca="false">IF(COUNTA('Lista de Preços'!$A101:$W101)&gt;0,IF(AND('Lista de Preços'!$N101&lt;&gt;"",ISNUMBER('Lista de Preços'!$N101),OR('Lista de Preços'!$N101&lt;0,'Lista de Preços'!$N101&gt;0.5)),"ERRO","OK"),"")</f>
        <v/>
      </c>
      <c r="I112" s="27" t="str">
        <f aca="false">IF(COUNTA('Lista de Preços'!$A101:$W101)&gt;0,IF(OR($C112="ERRO",$D112="ERRO",$E112="ERRO",$F112="ERRO",$G112="ERRO",$H112="ERRO"),"FALHA","OK"),"")</f>
        <v/>
      </c>
    </row>
    <row r="113" customFormat="false" ht="15" hidden="false" customHeight="false" outlineLevel="0" collapsed="false">
      <c r="A113" s="26" t="n">
        <f aca="false">'Lista de Preços'!$A102</f>
        <v>0</v>
      </c>
      <c r="B113" s="26" t="n">
        <f aca="false">'Lista de Preços'!$B102</f>
        <v>0</v>
      </c>
      <c r="C113" s="27" t="str">
        <f aca="false">IF(COUNTA('Lista de Preços'!$A102:$W102)&gt;0,IF((COUNTBLANK('Lista de Preços'!$A102)+COUNTBLANK('Lista de Preços'!$B102)+COUNTBLANK('Lista de Preços'!$C102)+COUNTBLANK('Lista de Preços'!$D102)+COUNTBLANK('Lista de Preços'!$E102)+COUNTBLANK('Lista de Preços'!$F102)+COUNTBLANK('Lista de Preços'!$L102)+COUNTBLANK('Lista de Preços'!$M102)+COUNTBLANK('Lista de Preços'!$P102)+COUNTBLANK('Lista de Preços'!$U102)+COUNTBLANK('Lista de Preços'!$V102))&gt;0,"ERRO","OK"),"")</f>
        <v/>
      </c>
      <c r="D113" s="27" t="str">
        <f aca="false">IF(COUNTA('Lista de Preços'!$A102:$W102)&gt;0,IF(OR(AND('Lista de Preços'!$L102&lt;&gt;"",NOT(ISNUMBER('Lista de Preços'!$L102))),AND('Lista de Preços'!$M102&lt;&gt;"",NOT(ISNUMBER('Lista de Preços'!$M102)))),"ERRO","OK"),"")</f>
        <v/>
      </c>
      <c r="E113" s="27" t="str">
        <f aca="false">IF(COUNTA('Lista de Preços'!$A102:$W102)&gt;0,IF(AND(ISNUMBER('Lista de Preços'!$L102),ISNUMBER('Lista de Preços'!$M102),'Lista de Preços'!$L102&gt;'Lista de Preços'!$M102),"ERRO","OK"),"")</f>
        <v/>
      </c>
      <c r="F113" s="27" t="str">
        <f aca="true">IF(COUNTA('Lista de Preços'!$A102:$W102)&gt;0,IF(AND('Lista de Preços'!$S102&lt;&gt;"",ISNUMBER('Lista de Preços'!$S102),'Lista de Preços'!$S102&lt;TODAY()),"ERRO","OK"),"")</f>
        <v/>
      </c>
      <c r="G113" s="27" t="str">
        <f aca="false">IF(COUNTA('Lista de Preços'!$A102:$W102)&gt;0,IF(AND('Lista de Preços'!$A102&lt;&gt;"",COUNTIF('Lista de Preços'!$A$4:$A$503,'Lista de Preços'!$A102)&gt;1),"ERRO","OK"),"")</f>
        <v/>
      </c>
      <c r="H113" s="27" t="str">
        <f aca="false">IF(COUNTA('Lista de Preços'!$A102:$W102)&gt;0,IF(AND('Lista de Preços'!$N102&lt;&gt;"",ISNUMBER('Lista de Preços'!$N102),OR('Lista de Preços'!$N102&lt;0,'Lista de Preços'!$N102&gt;0.5)),"ERRO","OK"),"")</f>
        <v/>
      </c>
      <c r="I113" s="27" t="str">
        <f aca="false">IF(COUNTA('Lista de Preços'!$A102:$W102)&gt;0,IF(OR($C113="ERRO",$D113="ERRO",$E113="ERRO",$F113="ERRO",$G113="ERRO",$H113="ERRO"),"FALHA","OK"),"")</f>
        <v/>
      </c>
    </row>
    <row r="114" customFormat="false" ht="15" hidden="false" customHeight="false" outlineLevel="0" collapsed="false">
      <c r="A114" s="26" t="n">
        <f aca="false">'Lista de Preços'!$A103</f>
        <v>0</v>
      </c>
      <c r="B114" s="26" t="n">
        <f aca="false">'Lista de Preços'!$B103</f>
        <v>0</v>
      </c>
      <c r="C114" s="27" t="str">
        <f aca="false">IF(COUNTA('Lista de Preços'!$A103:$W103)&gt;0,IF((COUNTBLANK('Lista de Preços'!$A103)+COUNTBLANK('Lista de Preços'!$B103)+COUNTBLANK('Lista de Preços'!$C103)+COUNTBLANK('Lista de Preços'!$D103)+COUNTBLANK('Lista de Preços'!$E103)+COUNTBLANK('Lista de Preços'!$F103)+COUNTBLANK('Lista de Preços'!$L103)+COUNTBLANK('Lista de Preços'!$M103)+COUNTBLANK('Lista de Preços'!$P103)+COUNTBLANK('Lista de Preços'!$U103)+COUNTBLANK('Lista de Preços'!$V103))&gt;0,"ERRO","OK"),"")</f>
        <v/>
      </c>
      <c r="D114" s="27" t="str">
        <f aca="false">IF(COUNTA('Lista de Preços'!$A103:$W103)&gt;0,IF(OR(AND('Lista de Preços'!$L103&lt;&gt;"",NOT(ISNUMBER('Lista de Preços'!$L103))),AND('Lista de Preços'!$M103&lt;&gt;"",NOT(ISNUMBER('Lista de Preços'!$M103)))),"ERRO","OK"),"")</f>
        <v/>
      </c>
      <c r="E114" s="27" t="str">
        <f aca="false">IF(COUNTA('Lista de Preços'!$A103:$W103)&gt;0,IF(AND(ISNUMBER('Lista de Preços'!$L103),ISNUMBER('Lista de Preços'!$M103),'Lista de Preços'!$L103&gt;'Lista de Preços'!$M103),"ERRO","OK"),"")</f>
        <v/>
      </c>
      <c r="F114" s="27" t="str">
        <f aca="true">IF(COUNTA('Lista de Preços'!$A103:$W103)&gt;0,IF(AND('Lista de Preços'!$S103&lt;&gt;"",ISNUMBER('Lista de Preços'!$S103),'Lista de Preços'!$S103&lt;TODAY()),"ERRO","OK"),"")</f>
        <v/>
      </c>
      <c r="G114" s="27" t="str">
        <f aca="false">IF(COUNTA('Lista de Preços'!$A103:$W103)&gt;0,IF(AND('Lista de Preços'!$A103&lt;&gt;"",COUNTIF('Lista de Preços'!$A$4:$A$503,'Lista de Preços'!$A103)&gt;1),"ERRO","OK"),"")</f>
        <v/>
      </c>
      <c r="H114" s="27" t="str">
        <f aca="false">IF(COUNTA('Lista de Preços'!$A103:$W103)&gt;0,IF(AND('Lista de Preços'!$N103&lt;&gt;"",ISNUMBER('Lista de Preços'!$N103),OR('Lista de Preços'!$N103&lt;0,'Lista de Preços'!$N103&gt;0.5)),"ERRO","OK"),"")</f>
        <v/>
      </c>
      <c r="I114" s="27" t="str">
        <f aca="false">IF(COUNTA('Lista de Preços'!$A103:$W103)&gt;0,IF(OR($C114="ERRO",$D114="ERRO",$E114="ERRO",$F114="ERRO",$G114="ERRO",$H114="ERRO"),"FALHA","OK"),"")</f>
        <v/>
      </c>
    </row>
    <row r="115" customFormat="false" ht="15" hidden="false" customHeight="false" outlineLevel="0" collapsed="false">
      <c r="A115" s="26" t="n">
        <f aca="false">'Lista de Preços'!$A104</f>
        <v>0</v>
      </c>
      <c r="B115" s="26" t="n">
        <f aca="false">'Lista de Preços'!$B104</f>
        <v>0</v>
      </c>
      <c r="C115" s="27" t="str">
        <f aca="false">IF(COUNTA('Lista de Preços'!$A104:$W104)&gt;0,IF((COUNTBLANK('Lista de Preços'!$A104)+COUNTBLANK('Lista de Preços'!$B104)+COUNTBLANK('Lista de Preços'!$C104)+COUNTBLANK('Lista de Preços'!$D104)+COUNTBLANK('Lista de Preços'!$E104)+COUNTBLANK('Lista de Preços'!$F104)+COUNTBLANK('Lista de Preços'!$L104)+COUNTBLANK('Lista de Preços'!$M104)+COUNTBLANK('Lista de Preços'!$P104)+COUNTBLANK('Lista de Preços'!$U104)+COUNTBLANK('Lista de Preços'!$V104))&gt;0,"ERRO","OK"),"")</f>
        <v/>
      </c>
      <c r="D115" s="27" t="str">
        <f aca="false">IF(COUNTA('Lista de Preços'!$A104:$W104)&gt;0,IF(OR(AND('Lista de Preços'!$L104&lt;&gt;"",NOT(ISNUMBER('Lista de Preços'!$L104))),AND('Lista de Preços'!$M104&lt;&gt;"",NOT(ISNUMBER('Lista de Preços'!$M104)))),"ERRO","OK"),"")</f>
        <v/>
      </c>
      <c r="E115" s="27" t="str">
        <f aca="false">IF(COUNTA('Lista de Preços'!$A104:$W104)&gt;0,IF(AND(ISNUMBER('Lista de Preços'!$L104),ISNUMBER('Lista de Preços'!$M104),'Lista de Preços'!$L104&gt;'Lista de Preços'!$M104),"ERRO","OK"),"")</f>
        <v/>
      </c>
      <c r="F115" s="27" t="str">
        <f aca="true">IF(COUNTA('Lista de Preços'!$A104:$W104)&gt;0,IF(AND('Lista de Preços'!$S104&lt;&gt;"",ISNUMBER('Lista de Preços'!$S104),'Lista de Preços'!$S104&lt;TODAY()),"ERRO","OK"),"")</f>
        <v/>
      </c>
      <c r="G115" s="27" t="str">
        <f aca="false">IF(COUNTA('Lista de Preços'!$A104:$W104)&gt;0,IF(AND('Lista de Preços'!$A104&lt;&gt;"",COUNTIF('Lista de Preços'!$A$4:$A$503,'Lista de Preços'!$A104)&gt;1),"ERRO","OK"),"")</f>
        <v/>
      </c>
      <c r="H115" s="27" t="str">
        <f aca="false">IF(COUNTA('Lista de Preços'!$A104:$W104)&gt;0,IF(AND('Lista de Preços'!$N104&lt;&gt;"",ISNUMBER('Lista de Preços'!$N104),OR('Lista de Preços'!$N104&lt;0,'Lista de Preços'!$N104&gt;0.5)),"ERRO","OK"),"")</f>
        <v/>
      </c>
      <c r="I115" s="27" t="str">
        <f aca="false">IF(COUNTA('Lista de Preços'!$A104:$W104)&gt;0,IF(OR($C115="ERRO",$D115="ERRO",$E115="ERRO",$F115="ERRO",$G115="ERRO",$H115="ERRO"),"FALHA","OK"),"")</f>
        <v/>
      </c>
    </row>
    <row r="116" customFormat="false" ht="15" hidden="false" customHeight="false" outlineLevel="0" collapsed="false">
      <c r="A116" s="26" t="n">
        <f aca="false">'Lista de Preços'!$A105</f>
        <v>0</v>
      </c>
      <c r="B116" s="26" t="n">
        <f aca="false">'Lista de Preços'!$B105</f>
        <v>0</v>
      </c>
      <c r="C116" s="27" t="str">
        <f aca="false">IF(COUNTA('Lista de Preços'!$A105:$W105)&gt;0,IF((COUNTBLANK('Lista de Preços'!$A105)+COUNTBLANK('Lista de Preços'!$B105)+COUNTBLANK('Lista de Preços'!$C105)+COUNTBLANK('Lista de Preços'!$D105)+COUNTBLANK('Lista de Preços'!$E105)+COUNTBLANK('Lista de Preços'!$F105)+COUNTBLANK('Lista de Preços'!$L105)+COUNTBLANK('Lista de Preços'!$M105)+COUNTBLANK('Lista de Preços'!$P105)+COUNTBLANK('Lista de Preços'!$U105)+COUNTBLANK('Lista de Preços'!$V105))&gt;0,"ERRO","OK"),"")</f>
        <v/>
      </c>
      <c r="D116" s="27" t="str">
        <f aca="false">IF(COUNTA('Lista de Preços'!$A105:$W105)&gt;0,IF(OR(AND('Lista de Preços'!$L105&lt;&gt;"",NOT(ISNUMBER('Lista de Preços'!$L105))),AND('Lista de Preços'!$M105&lt;&gt;"",NOT(ISNUMBER('Lista de Preços'!$M105)))),"ERRO","OK"),"")</f>
        <v/>
      </c>
      <c r="E116" s="27" t="str">
        <f aca="false">IF(COUNTA('Lista de Preços'!$A105:$W105)&gt;0,IF(AND(ISNUMBER('Lista de Preços'!$L105),ISNUMBER('Lista de Preços'!$M105),'Lista de Preços'!$L105&gt;'Lista de Preços'!$M105),"ERRO","OK"),"")</f>
        <v/>
      </c>
      <c r="F116" s="27" t="str">
        <f aca="true">IF(COUNTA('Lista de Preços'!$A105:$W105)&gt;0,IF(AND('Lista de Preços'!$S105&lt;&gt;"",ISNUMBER('Lista de Preços'!$S105),'Lista de Preços'!$S105&lt;TODAY()),"ERRO","OK"),"")</f>
        <v/>
      </c>
      <c r="G116" s="27" t="str">
        <f aca="false">IF(COUNTA('Lista de Preços'!$A105:$W105)&gt;0,IF(AND('Lista de Preços'!$A105&lt;&gt;"",COUNTIF('Lista de Preços'!$A$4:$A$503,'Lista de Preços'!$A105)&gt;1),"ERRO","OK"),"")</f>
        <v/>
      </c>
      <c r="H116" s="27" t="str">
        <f aca="false">IF(COUNTA('Lista de Preços'!$A105:$W105)&gt;0,IF(AND('Lista de Preços'!$N105&lt;&gt;"",ISNUMBER('Lista de Preços'!$N105),OR('Lista de Preços'!$N105&lt;0,'Lista de Preços'!$N105&gt;0.5)),"ERRO","OK"),"")</f>
        <v/>
      </c>
      <c r="I116" s="27" t="str">
        <f aca="false">IF(COUNTA('Lista de Preços'!$A105:$W105)&gt;0,IF(OR($C116="ERRO",$D116="ERRO",$E116="ERRO",$F116="ERRO",$G116="ERRO",$H116="ERRO"),"FALHA","OK"),"")</f>
        <v/>
      </c>
    </row>
    <row r="117" customFormat="false" ht="15" hidden="false" customHeight="false" outlineLevel="0" collapsed="false">
      <c r="A117" s="26" t="n">
        <f aca="false">'Lista de Preços'!$A106</f>
        <v>0</v>
      </c>
      <c r="B117" s="26" t="n">
        <f aca="false">'Lista de Preços'!$B106</f>
        <v>0</v>
      </c>
      <c r="C117" s="27" t="str">
        <f aca="false">IF(COUNTA('Lista de Preços'!$A106:$W106)&gt;0,IF((COUNTBLANK('Lista de Preços'!$A106)+COUNTBLANK('Lista de Preços'!$B106)+COUNTBLANK('Lista de Preços'!$C106)+COUNTBLANK('Lista de Preços'!$D106)+COUNTBLANK('Lista de Preços'!$E106)+COUNTBLANK('Lista de Preços'!$F106)+COUNTBLANK('Lista de Preços'!$L106)+COUNTBLANK('Lista de Preços'!$M106)+COUNTBLANK('Lista de Preços'!$P106)+COUNTBLANK('Lista de Preços'!$U106)+COUNTBLANK('Lista de Preços'!$V106))&gt;0,"ERRO","OK"),"")</f>
        <v/>
      </c>
      <c r="D117" s="27" t="str">
        <f aca="false">IF(COUNTA('Lista de Preços'!$A106:$W106)&gt;0,IF(OR(AND('Lista de Preços'!$L106&lt;&gt;"",NOT(ISNUMBER('Lista de Preços'!$L106))),AND('Lista de Preços'!$M106&lt;&gt;"",NOT(ISNUMBER('Lista de Preços'!$M106)))),"ERRO","OK"),"")</f>
        <v/>
      </c>
      <c r="E117" s="27" t="str">
        <f aca="false">IF(COUNTA('Lista de Preços'!$A106:$W106)&gt;0,IF(AND(ISNUMBER('Lista de Preços'!$L106),ISNUMBER('Lista de Preços'!$M106),'Lista de Preços'!$L106&gt;'Lista de Preços'!$M106),"ERRO","OK"),"")</f>
        <v/>
      </c>
      <c r="F117" s="27" t="str">
        <f aca="true">IF(COUNTA('Lista de Preços'!$A106:$W106)&gt;0,IF(AND('Lista de Preços'!$S106&lt;&gt;"",ISNUMBER('Lista de Preços'!$S106),'Lista de Preços'!$S106&lt;TODAY()),"ERRO","OK"),"")</f>
        <v/>
      </c>
      <c r="G117" s="27" t="str">
        <f aca="false">IF(COUNTA('Lista de Preços'!$A106:$W106)&gt;0,IF(AND('Lista de Preços'!$A106&lt;&gt;"",COUNTIF('Lista de Preços'!$A$4:$A$503,'Lista de Preços'!$A106)&gt;1),"ERRO","OK"),"")</f>
        <v/>
      </c>
      <c r="H117" s="27" t="str">
        <f aca="false">IF(COUNTA('Lista de Preços'!$A106:$W106)&gt;0,IF(AND('Lista de Preços'!$N106&lt;&gt;"",ISNUMBER('Lista de Preços'!$N106),OR('Lista de Preços'!$N106&lt;0,'Lista de Preços'!$N106&gt;0.5)),"ERRO","OK"),"")</f>
        <v/>
      </c>
      <c r="I117" s="27" t="str">
        <f aca="false">IF(COUNTA('Lista de Preços'!$A106:$W106)&gt;0,IF(OR($C117="ERRO",$D117="ERRO",$E117="ERRO",$F117="ERRO",$G117="ERRO",$H117="ERRO"),"FALHA","OK"),"")</f>
        <v/>
      </c>
    </row>
    <row r="118" customFormat="false" ht="15" hidden="false" customHeight="false" outlineLevel="0" collapsed="false">
      <c r="A118" s="26" t="n">
        <f aca="false">'Lista de Preços'!$A107</f>
        <v>0</v>
      </c>
      <c r="B118" s="26" t="n">
        <f aca="false">'Lista de Preços'!$B107</f>
        <v>0</v>
      </c>
      <c r="C118" s="27" t="str">
        <f aca="false">IF(COUNTA('Lista de Preços'!$A107:$W107)&gt;0,IF((COUNTBLANK('Lista de Preços'!$A107)+COUNTBLANK('Lista de Preços'!$B107)+COUNTBLANK('Lista de Preços'!$C107)+COUNTBLANK('Lista de Preços'!$D107)+COUNTBLANK('Lista de Preços'!$E107)+COUNTBLANK('Lista de Preços'!$F107)+COUNTBLANK('Lista de Preços'!$L107)+COUNTBLANK('Lista de Preços'!$M107)+COUNTBLANK('Lista de Preços'!$P107)+COUNTBLANK('Lista de Preços'!$U107)+COUNTBLANK('Lista de Preços'!$V107))&gt;0,"ERRO","OK"),"")</f>
        <v/>
      </c>
      <c r="D118" s="27" t="str">
        <f aca="false">IF(COUNTA('Lista de Preços'!$A107:$W107)&gt;0,IF(OR(AND('Lista de Preços'!$L107&lt;&gt;"",NOT(ISNUMBER('Lista de Preços'!$L107))),AND('Lista de Preços'!$M107&lt;&gt;"",NOT(ISNUMBER('Lista de Preços'!$M107)))),"ERRO","OK"),"")</f>
        <v/>
      </c>
      <c r="E118" s="27" t="str">
        <f aca="false">IF(COUNTA('Lista de Preços'!$A107:$W107)&gt;0,IF(AND(ISNUMBER('Lista de Preços'!$L107),ISNUMBER('Lista de Preços'!$M107),'Lista de Preços'!$L107&gt;'Lista de Preços'!$M107),"ERRO","OK"),"")</f>
        <v/>
      </c>
      <c r="F118" s="27" t="str">
        <f aca="true">IF(COUNTA('Lista de Preços'!$A107:$W107)&gt;0,IF(AND('Lista de Preços'!$S107&lt;&gt;"",ISNUMBER('Lista de Preços'!$S107),'Lista de Preços'!$S107&lt;TODAY()),"ERRO","OK"),"")</f>
        <v/>
      </c>
      <c r="G118" s="27" t="str">
        <f aca="false">IF(COUNTA('Lista de Preços'!$A107:$W107)&gt;0,IF(AND('Lista de Preços'!$A107&lt;&gt;"",COUNTIF('Lista de Preços'!$A$4:$A$503,'Lista de Preços'!$A107)&gt;1),"ERRO","OK"),"")</f>
        <v/>
      </c>
      <c r="H118" s="27" t="str">
        <f aca="false">IF(COUNTA('Lista de Preços'!$A107:$W107)&gt;0,IF(AND('Lista de Preços'!$N107&lt;&gt;"",ISNUMBER('Lista de Preços'!$N107),OR('Lista de Preços'!$N107&lt;0,'Lista de Preços'!$N107&gt;0.5)),"ERRO","OK"),"")</f>
        <v/>
      </c>
      <c r="I118" s="27" t="str">
        <f aca="false">IF(COUNTA('Lista de Preços'!$A107:$W107)&gt;0,IF(OR($C118="ERRO",$D118="ERRO",$E118="ERRO",$F118="ERRO",$G118="ERRO",$H118="ERRO"),"FALHA","OK"),"")</f>
        <v/>
      </c>
    </row>
    <row r="119" customFormat="false" ht="15" hidden="false" customHeight="false" outlineLevel="0" collapsed="false">
      <c r="A119" s="26" t="n">
        <f aca="false">'Lista de Preços'!$A108</f>
        <v>0</v>
      </c>
      <c r="B119" s="26" t="n">
        <f aca="false">'Lista de Preços'!$B108</f>
        <v>0</v>
      </c>
      <c r="C119" s="27" t="str">
        <f aca="false">IF(COUNTA('Lista de Preços'!$A108:$W108)&gt;0,IF((COUNTBLANK('Lista de Preços'!$A108)+COUNTBLANK('Lista de Preços'!$B108)+COUNTBLANK('Lista de Preços'!$C108)+COUNTBLANK('Lista de Preços'!$D108)+COUNTBLANK('Lista de Preços'!$E108)+COUNTBLANK('Lista de Preços'!$F108)+COUNTBLANK('Lista de Preços'!$L108)+COUNTBLANK('Lista de Preços'!$M108)+COUNTBLANK('Lista de Preços'!$P108)+COUNTBLANK('Lista de Preços'!$U108)+COUNTBLANK('Lista de Preços'!$V108))&gt;0,"ERRO","OK"),"")</f>
        <v/>
      </c>
      <c r="D119" s="27" t="str">
        <f aca="false">IF(COUNTA('Lista de Preços'!$A108:$W108)&gt;0,IF(OR(AND('Lista de Preços'!$L108&lt;&gt;"",NOT(ISNUMBER('Lista de Preços'!$L108))),AND('Lista de Preços'!$M108&lt;&gt;"",NOT(ISNUMBER('Lista de Preços'!$M108)))),"ERRO","OK"),"")</f>
        <v/>
      </c>
      <c r="E119" s="27" t="str">
        <f aca="false">IF(COUNTA('Lista de Preços'!$A108:$W108)&gt;0,IF(AND(ISNUMBER('Lista de Preços'!$L108),ISNUMBER('Lista de Preços'!$M108),'Lista de Preços'!$L108&gt;'Lista de Preços'!$M108),"ERRO","OK"),"")</f>
        <v/>
      </c>
      <c r="F119" s="27" t="str">
        <f aca="true">IF(COUNTA('Lista de Preços'!$A108:$W108)&gt;0,IF(AND('Lista de Preços'!$S108&lt;&gt;"",ISNUMBER('Lista de Preços'!$S108),'Lista de Preços'!$S108&lt;TODAY()),"ERRO","OK"),"")</f>
        <v/>
      </c>
      <c r="G119" s="27" t="str">
        <f aca="false">IF(COUNTA('Lista de Preços'!$A108:$W108)&gt;0,IF(AND('Lista de Preços'!$A108&lt;&gt;"",COUNTIF('Lista de Preços'!$A$4:$A$503,'Lista de Preços'!$A108)&gt;1),"ERRO","OK"),"")</f>
        <v/>
      </c>
      <c r="H119" s="27" t="str">
        <f aca="false">IF(COUNTA('Lista de Preços'!$A108:$W108)&gt;0,IF(AND('Lista de Preços'!$N108&lt;&gt;"",ISNUMBER('Lista de Preços'!$N108),OR('Lista de Preços'!$N108&lt;0,'Lista de Preços'!$N108&gt;0.5)),"ERRO","OK"),"")</f>
        <v/>
      </c>
      <c r="I119" s="27" t="str">
        <f aca="false">IF(COUNTA('Lista de Preços'!$A108:$W108)&gt;0,IF(OR($C119="ERRO",$D119="ERRO",$E119="ERRO",$F119="ERRO",$G119="ERRO",$H119="ERRO"),"FALHA","OK"),"")</f>
        <v/>
      </c>
    </row>
    <row r="120" customFormat="false" ht="15" hidden="false" customHeight="false" outlineLevel="0" collapsed="false">
      <c r="A120" s="26" t="n">
        <f aca="false">'Lista de Preços'!$A109</f>
        <v>0</v>
      </c>
      <c r="B120" s="26" t="n">
        <f aca="false">'Lista de Preços'!$B109</f>
        <v>0</v>
      </c>
      <c r="C120" s="27" t="str">
        <f aca="false">IF(COUNTA('Lista de Preços'!$A109:$W109)&gt;0,IF((COUNTBLANK('Lista de Preços'!$A109)+COUNTBLANK('Lista de Preços'!$B109)+COUNTBLANK('Lista de Preços'!$C109)+COUNTBLANK('Lista de Preços'!$D109)+COUNTBLANK('Lista de Preços'!$E109)+COUNTBLANK('Lista de Preços'!$F109)+COUNTBLANK('Lista de Preços'!$L109)+COUNTBLANK('Lista de Preços'!$M109)+COUNTBLANK('Lista de Preços'!$P109)+COUNTBLANK('Lista de Preços'!$U109)+COUNTBLANK('Lista de Preços'!$V109))&gt;0,"ERRO","OK"),"")</f>
        <v/>
      </c>
      <c r="D120" s="27" t="str">
        <f aca="false">IF(COUNTA('Lista de Preços'!$A109:$W109)&gt;0,IF(OR(AND('Lista de Preços'!$L109&lt;&gt;"",NOT(ISNUMBER('Lista de Preços'!$L109))),AND('Lista de Preços'!$M109&lt;&gt;"",NOT(ISNUMBER('Lista de Preços'!$M109)))),"ERRO","OK"),"")</f>
        <v/>
      </c>
      <c r="E120" s="27" t="str">
        <f aca="false">IF(COUNTA('Lista de Preços'!$A109:$W109)&gt;0,IF(AND(ISNUMBER('Lista de Preços'!$L109),ISNUMBER('Lista de Preços'!$M109),'Lista de Preços'!$L109&gt;'Lista de Preços'!$M109),"ERRO","OK"),"")</f>
        <v/>
      </c>
      <c r="F120" s="27" t="str">
        <f aca="true">IF(COUNTA('Lista de Preços'!$A109:$W109)&gt;0,IF(AND('Lista de Preços'!$S109&lt;&gt;"",ISNUMBER('Lista de Preços'!$S109),'Lista de Preços'!$S109&lt;TODAY()),"ERRO","OK"),"")</f>
        <v/>
      </c>
      <c r="G120" s="27" t="str">
        <f aca="false">IF(COUNTA('Lista de Preços'!$A109:$W109)&gt;0,IF(AND('Lista de Preços'!$A109&lt;&gt;"",COUNTIF('Lista de Preços'!$A$4:$A$503,'Lista de Preços'!$A109)&gt;1),"ERRO","OK"),"")</f>
        <v/>
      </c>
      <c r="H120" s="27" t="str">
        <f aca="false">IF(COUNTA('Lista de Preços'!$A109:$W109)&gt;0,IF(AND('Lista de Preços'!$N109&lt;&gt;"",ISNUMBER('Lista de Preços'!$N109),OR('Lista de Preços'!$N109&lt;0,'Lista de Preços'!$N109&gt;0.5)),"ERRO","OK"),"")</f>
        <v/>
      </c>
      <c r="I120" s="27" t="str">
        <f aca="false">IF(COUNTA('Lista de Preços'!$A109:$W109)&gt;0,IF(OR($C120="ERRO",$D120="ERRO",$E120="ERRO",$F120="ERRO",$G120="ERRO",$H120="ERRO"),"FALHA","OK"),"")</f>
        <v/>
      </c>
    </row>
    <row r="121" customFormat="false" ht="15" hidden="false" customHeight="false" outlineLevel="0" collapsed="false">
      <c r="A121" s="26" t="n">
        <f aca="false">'Lista de Preços'!$A110</f>
        <v>0</v>
      </c>
      <c r="B121" s="26" t="n">
        <f aca="false">'Lista de Preços'!$B110</f>
        <v>0</v>
      </c>
      <c r="C121" s="27" t="str">
        <f aca="false">IF(COUNTA('Lista de Preços'!$A110:$W110)&gt;0,IF((COUNTBLANK('Lista de Preços'!$A110)+COUNTBLANK('Lista de Preços'!$B110)+COUNTBLANK('Lista de Preços'!$C110)+COUNTBLANK('Lista de Preços'!$D110)+COUNTBLANK('Lista de Preços'!$E110)+COUNTBLANK('Lista de Preços'!$F110)+COUNTBLANK('Lista de Preços'!$L110)+COUNTBLANK('Lista de Preços'!$M110)+COUNTBLANK('Lista de Preços'!$P110)+COUNTBLANK('Lista de Preços'!$U110)+COUNTBLANK('Lista de Preços'!$V110))&gt;0,"ERRO","OK"),"")</f>
        <v/>
      </c>
      <c r="D121" s="27" t="str">
        <f aca="false">IF(COUNTA('Lista de Preços'!$A110:$W110)&gt;0,IF(OR(AND('Lista de Preços'!$L110&lt;&gt;"",NOT(ISNUMBER('Lista de Preços'!$L110))),AND('Lista de Preços'!$M110&lt;&gt;"",NOT(ISNUMBER('Lista de Preços'!$M110)))),"ERRO","OK"),"")</f>
        <v/>
      </c>
      <c r="E121" s="27" t="str">
        <f aca="false">IF(COUNTA('Lista de Preços'!$A110:$W110)&gt;0,IF(AND(ISNUMBER('Lista de Preços'!$L110),ISNUMBER('Lista de Preços'!$M110),'Lista de Preços'!$L110&gt;'Lista de Preços'!$M110),"ERRO","OK"),"")</f>
        <v/>
      </c>
      <c r="F121" s="27" t="str">
        <f aca="true">IF(COUNTA('Lista de Preços'!$A110:$W110)&gt;0,IF(AND('Lista de Preços'!$S110&lt;&gt;"",ISNUMBER('Lista de Preços'!$S110),'Lista de Preços'!$S110&lt;TODAY()),"ERRO","OK"),"")</f>
        <v/>
      </c>
      <c r="G121" s="27" t="str">
        <f aca="false">IF(COUNTA('Lista de Preços'!$A110:$W110)&gt;0,IF(AND('Lista de Preços'!$A110&lt;&gt;"",COUNTIF('Lista de Preços'!$A$4:$A$503,'Lista de Preços'!$A110)&gt;1),"ERRO","OK"),"")</f>
        <v/>
      </c>
      <c r="H121" s="27" t="str">
        <f aca="false">IF(COUNTA('Lista de Preços'!$A110:$W110)&gt;0,IF(AND('Lista de Preços'!$N110&lt;&gt;"",ISNUMBER('Lista de Preços'!$N110),OR('Lista de Preços'!$N110&lt;0,'Lista de Preços'!$N110&gt;0.5)),"ERRO","OK"),"")</f>
        <v/>
      </c>
      <c r="I121" s="27" t="str">
        <f aca="false">IF(COUNTA('Lista de Preços'!$A110:$W110)&gt;0,IF(OR($C121="ERRO",$D121="ERRO",$E121="ERRO",$F121="ERRO",$G121="ERRO",$H121="ERRO"),"FALHA","OK"),"")</f>
        <v/>
      </c>
    </row>
    <row r="122" customFormat="false" ht="15" hidden="false" customHeight="false" outlineLevel="0" collapsed="false">
      <c r="A122" s="26" t="n">
        <f aca="false">'Lista de Preços'!$A111</f>
        <v>0</v>
      </c>
      <c r="B122" s="26" t="n">
        <f aca="false">'Lista de Preços'!$B111</f>
        <v>0</v>
      </c>
      <c r="C122" s="27" t="str">
        <f aca="false">IF(COUNTA('Lista de Preços'!$A111:$W111)&gt;0,IF((COUNTBLANK('Lista de Preços'!$A111)+COUNTBLANK('Lista de Preços'!$B111)+COUNTBLANK('Lista de Preços'!$C111)+COUNTBLANK('Lista de Preços'!$D111)+COUNTBLANK('Lista de Preços'!$E111)+COUNTBLANK('Lista de Preços'!$F111)+COUNTBLANK('Lista de Preços'!$L111)+COUNTBLANK('Lista de Preços'!$M111)+COUNTBLANK('Lista de Preços'!$P111)+COUNTBLANK('Lista de Preços'!$U111)+COUNTBLANK('Lista de Preços'!$V111))&gt;0,"ERRO","OK"),"")</f>
        <v/>
      </c>
      <c r="D122" s="27" t="str">
        <f aca="false">IF(COUNTA('Lista de Preços'!$A111:$W111)&gt;0,IF(OR(AND('Lista de Preços'!$L111&lt;&gt;"",NOT(ISNUMBER('Lista de Preços'!$L111))),AND('Lista de Preços'!$M111&lt;&gt;"",NOT(ISNUMBER('Lista de Preços'!$M111)))),"ERRO","OK"),"")</f>
        <v/>
      </c>
      <c r="E122" s="27" t="str">
        <f aca="false">IF(COUNTA('Lista de Preços'!$A111:$W111)&gt;0,IF(AND(ISNUMBER('Lista de Preços'!$L111),ISNUMBER('Lista de Preços'!$M111),'Lista de Preços'!$L111&gt;'Lista de Preços'!$M111),"ERRO","OK"),"")</f>
        <v/>
      </c>
      <c r="F122" s="27" t="str">
        <f aca="true">IF(COUNTA('Lista de Preços'!$A111:$W111)&gt;0,IF(AND('Lista de Preços'!$S111&lt;&gt;"",ISNUMBER('Lista de Preços'!$S111),'Lista de Preços'!$S111&lt;TODAY()),"ERRO","OK"),"")</f>
        <v/>
      </c>
      <c r="G122" s="27" t="str">
        <f aca="false">IF(COUNTA('Lista de Preços'!$A111:$W111)&gt;0,IF(AND('Lista de Preços'!$A111&lt;&gt;"",COUNTIF('Lista de Preços'!$A$4:$A$503,'Lista de Preços'!$A111)&gt;1),"ERRO","OK"),"")</f>
        <v/>
      </c>
      <c r="H122" s="27" t="str">
        <f aca="false">IF(COUNTA('Lista de Preços'!$A111:$W111)&gt;0,IF(AND('Lista de Preços'!$N111&lt;&gt;"",ISNUMBER('Lista de Preços'!$N111),OR('Lista de Preços'!$N111&lt;0,'Lista de Preços'!$N111&gt;0.5)),"ERRO","OK"),"")</f>
        <v/>
      </c>
      <c r="I122" s="27" t="str">
        <f aca="false">IF(COUNTA('Lista de Preços'!$A111:$W111)&gt;0,IF(OR($C122="ERRO",$D122="ERRO",$E122="ERRO",$F122="ERRO",$G122="ERRO",$H122="ERRO"),"FALHA","OK"),"")</f>
        <v/>
      </c>
    </row>
    <row r="123" customFormat="false" ht="15" hidden="false" customHeight="false" outlineLevel="0" collapsed="false">
      <c r="A123" s="26" t="n">
        <f aca="false">'Lista de Preços'!$A112</f>
        <v>0</v>
      </c>
      <c r="B123" s="26" t="n">
        <f aca="false">'Lista de Preços'!$B112</f>
        <v>0</v>
      </c>
      <c r="C123" s="27" t="str">
        <f aca="false">IF(COUNTA('Lista de Preços'!$A112:$W112)&gt;0,IF((COUNTBLANK('Lista de Preços'!$A112)+COUNTBLANK('Lista de Preços'!$B112)+COUNTBLANK('Lista de Preços'!$C112)+COUNTBLANK('Lista de Preços'!$D112)+COUNTBLANK('Lista de Preços'!$E112)+COUNTBLANK('Lista de Preços'!$F112)+COUNTBLANK('Lista de Preços'!$L112)+COUNTBLANK('Lista de Preços'!$M112)+COUNTBLANK('Lista de Preços'!$P112)+COUNTBLANK('Lista de Preços'!$U112)+COUNTBLANK('Lista de Preços'!$V112))&gt;0,"ERRO","OK"),"")</f>
        <v/>
      </c>
      <c r="D123" s="27" t="str">
        <f aca="false">IF(COUNTA('Lista de Preços'!$A112:$W112)&gt;0,IF(OR(AND('Lista de Preços'!$L112&lt;&gt;"",NOT(ISNUMBER('Lista de Preços'!$L112))),AND('Lista de Preços'!$M112&lt;&gt;"",NOT(ISNUMBER('Lista de Preços'!$M112)))),"ERRO","OK"),"")</f>
        <v/>
      </c>
      <c r="E123" s="27" t="str">
        <f aca="false">IF(COUNTA('Lista de Preços'!$A112:$W112)&gt;0,IF(AND(ISNUMBER('Lista de Preços'!$L112),ISNUMBER('Lista de Preços'!$M112),'Lista de Preços'!$L112&gt;'Lista de Preços'!$M112),"ERRO","OK"),"")</f>
        <v/>
      </c>
      <c r="F123" s="27" t="str">
        <f aca="true">IF(COUNTA('Lista de Preços'!$A112:$W112)&gt;0,IF(AND('Lista de Preços'!$S112&lt;&gt;"",ISNUMBER('Lista de Preços'!$S112),'Lista de Preços'!$S112&lt;TODAY()),"ERRO","OK"),"")</f>
        <v/>
      </c>
      <c r="G123" s="27" t="str">
        <f aca="false">IF(COUNTA('Lista de Preços'!$A112:$W112)&gt;0,IF(AND('Lista de Preços'!$A112&lt;&gt;"",COUNTIF('Lista de Preços'!$A$4:$A$503,'Lista de Preços'!$A112)&gt;1),"ERRO","OK"),"")</f>
        <v/>
      </c>
      <c r="H123" s="27" t="str">
        <f aca="false">IF(COUNTA('Lista de Preços'!$A112:$W112)&gt;0,IF(AND('Lista de Preços'!$N112&lt;&gt;"",ISNUMBER('Lista de Preços'!$N112),OR('Lista de Preços'!$N112&lt;0,'Lista de Preços'!$N112&gt;0.5)),"ERRO","OK"),"")</f>
        <v/>
      </c>
      <c r="I123" s="27" t="str">
        <f aca="false">IF(COUNTA('Lista de Preços'!$A112:$W112)&gt;0,IF(OR($C123="ERRO",$D123="ERRO",$E123="ERRO",$F123="ERRO",$G123="ERRO",$H123="ERRO"),"FALHA","OK"),"")</f>
        <v/>
      </c>
    </row>
    <row r="124" customFormat="false" ht="15" hidden="false" customHeight="false" outlineLevel="0" collapsed="false">
      <c r="A124" s="26" t="n">
        <f aca="false">'Lista de Preços'!$A113</f>
        <v>0</v>
      </c>
      <c r="B124" s="26" t="n">
        <f aca="false">'Lista de Preços'!$B113</f>
        <v>0</v>
      </c>
      <c r="C124" s="27" t="str">
        <f aca="false">IF(COUNTA('Lista de Preços'!$A113:$W113)&gt;0,IF((COUNTBLANK('Lista de Preços'!$A113)+COUNTBLANK('Lista de Preços'!$B113)+COUNTBLANK('Lista de Preços'!$C113)+COUNTBLANK('Lista de Preços'!$D113)+COUNTBLANK('Lista de Preços'!$E113)+COUNTBLANK('Lista de Preços'!$F113)+COUNTBLANK('Lista de Preços'!$L113)+COUNTBLANK('Lista de Preços'!$M113)+COUNTBLANK('Lista de Preços'!$P113)+COUNTBLANK('Lista de Preços'!$U113)+COUNTBLANK('Lista de Preços'!$V113))&gt;0,"ERRO","OK"),"")</f>
        <v/>
      </c>
      <c r="D124" s="27" t="str">
        <f aca="false">IF(COUNTA('Lista de Preços'!$A113:$W113)&gt;0,IF(OR(AND('Lista de Preços'!$L113&lt;&gt;"",NOT(ISNUMBER('Lista de Preços'!$L113))),AND('Lista de Preços'!$M113&lt;&gt;"",NOT(ISNUMBER('Lista de Preços'!$M113)))),"ERRO","OK"),"")</f>
        <v/>
      </c>
      <c r="E124" s="27" t="str">
        <f aca="false">IF(COUNTA('Lista de Preços'!$A113:$W113)&gt;0,IF(AND(ISNUMBER('Lista de Preços'!$L113),ISNUMBER('Lista de Preços'!$M113),'Lista de Preços'!$L113&gt;'Lista de Preços'!$M113),"ERRO","OK"),"")</f>
        <v/>
      </c>
      <c r="F124" s="27" t="str">
        <f aca="true">IF(COUNTA('Lista de Preços'!$A113:$W113)&gt;0,IF(AND('Lista de Preços'!$S113&lt;&gt;"",ISNUMBER('Lista de Preços'!$S113),'Lista de Preços'!$S113&lt;TODAY()),"ERRO","OK"),"")</f>
        <v/>
      </c>
      <c r="G124" s="27" t="str">
        <f aca="false">IF(COUNTA('Lista de Preços'!$A113:$W113)&gt;0,IF(AND('Lista de Preços'!$A113&lt;&gt;"",COUNTIF('Lista de Preços'!$A$4:$A$503,'Lista de Preços'!$A113)&gt;1),"ERRO","OK"),"")</f>
        <v/>
      </c>
      <c r="H124" s="27" t="str">
        <f aca="false">IF(COUNTA('Lista de Preços'!$A113:$W113)&gt;0,IF(AND('Lista de Preços'!$N113&lt;&gt;"",ISNUMBER('Lista de Preços'!$N113),OR('Lista de Preços'!$N113&lt;0,'Lista de Preços'!$N113&gt;0.5)),"ERRO","OK"),"")</f>
        <v/>
      </c>
      <c r="I124" s="27" t="str">
        <f aca="false">IF(COUNTA('Lista de Preços'!$A113:$W113)&gt;0,IF(OR($C124="ERRO",$D124="ERRO",$E124="ERRO",$F124="ERRO",$G124="ERRO",$H124="ERRO"),"FALHA","OK"),"")</f>
        <v/>
      </c>
    </row>
    <row r="125" customFormat="false" ht="15" hidden="false" customHeight="false" outlineLevel="0" collapsed="false">
      <c r="A125" s="26" t="n">
        <f aca="false">'Lista de Preços'!$A114</f>
        <v>0</v>
      </c>
      <c r="B125" s="26" t="n">
        <f aca="false">'Lista de Preços'!$B114</f>
        <v>0</v>
      </c>
      <c r="C125" s="27" t="str">
        <f aca="false">IF(COUNTA('Lista de Preços'!$A114:$W114)&gt;0,IF((COUNTBLANK('Lista de Preços'!$A114)+COUNTBLANK('Lista de Preços'!$B114)+COUNTBLANK('Lista de Preços'!$C114)+COUNTBLANK('Lista de Preços'!$D114)+COUNTBLANK('Lista de Preços'!$E114)+COUNTBLANK('Lista de Preços'!$F114)+COUNTBLANK('Lista de Preços'!$L114)+COUNTBLANK('Lista de Preços'!$M114)+COUNTBLANK('Lista de Preços'!$P114)+COUNTBLANK('Lista de Preços'!$U114)+COUNTBLANK('Lista de Preços'!$V114))&gt;0,"ERRO","OK"),"")</f>
        <v/>
      </c>
      <c r="D125" s="27" t="str">
        <f aca="false">IF(COUNTA('Lista de Preços'!$A114:$W114)&gt;0,IF(OR(AND('Lista de Preços'!$L114&lt;&gt;"",NOT(ISNUMBER('Lista de Preços'!$L114))),AND('Lista de Preços'!$M114&lt;&gt;"",NOT(ISNUMBER('Lista de Preços'!$M114)))),"ERRO","OK"),"")</f>
        <v/>
      </c>
      <c r="E125" s="27" t="str">
        <f aca="false">IF(COUNTA('Lista de Preços'!$A114:$W114)&gt;0,IF(AND(ISNUMBER('Lista de Preços'!$L114),ISNUMBER('Lista de Preços'!$M114),'Lista de Preços'!$L114&gt;'Lista de Preços'!$M114),"ERRO","OK"),"")</f>
        <v/>
      </c>
      <c r="F125" s="27" t="str">
        <f aca="true">IF(COUNTA('Lista de Preços'!$A114:$W114)&gt;0,IF(AND('Lista de Preços'!$S114&lt;&gt;"",ISNUMBER('Lista de Preços'!$S114),'Lista de Preços'!$S114&lt;TODAY()),"ERRO","OK"),"")</f>
        <v/>
      </c>
      <c r="G125" s="27" t="str">
        <f aca="false">IF(COUNTA('Lista de Preços'!$A114:$W114)&gt;0,IF(AND('Lista de Preços'!$A114&lt;&gt;"",COUNTIF('Lista de Preços'!$A$4:$A$503,'Lista de Preços'!$A114)&gt;1),"ERRO","OK"),"")</f>
        <v/>
      </c>
      <c r="H125" s="27" t="str">
        <f aca="false">IF(COUNTA('Lista de Preços'!$A114:$W114)&gt;0,IF(AND('Lista de Preços'!$N114&lt;&gt;"",ISNUMBER('Lista de Preços'!$N114),OR('Lista de Preços'!$N114&lt;0,'Lista de Preços'!$N114&gt;0.5)),"ERRO","OK"),"")</f>
        <v/>
      </c>
      <c r="I125" s="27" t="str">
        <f aca="false">IF(COUNTA('Lista de Preços'!$A114:$W114)&gt;0,IF(OR($C125="ERRO",$D125="ERRO",$E125="ERRO",$F125="ERRO",$G125="ERRO",$H125="ERRO"),"FALHA","OK"),"")</f>
        <v/>
      </c>
    </row>
    <row r="126" customFormat="false" ht="15" hidden="false" customHeight="false" outlineLevel="0" collapsed="false">
      <c r="A126" s="26" t="n">
        <f aca="false">'Lista de Preços'!$A115</f>
        <v>0</v>
      </c>
      <c r="B126" s="26" t="n">
        <f aca="false">'Lista de Preços'!$B115</f>
        <v>0</v>
      </c>
      <c r="C126" s="27" t="str">
        <f aca="false">IF(COUNTA('Lista de Preços'!$A115:$W115)&gt;0,IF((COUNTBLANK('Lista de Preços'!$A115)+COUNTBLANK('Lista de Preços'!$B115)+COUNTBLANK('Lista de Preços'!$C115)+COUNTBLANK('Lista de Preços'!$D115)+COUNTBLANK('Lista de Preços'!$E115)+COUNTBLANK('Lista de Preços'!$F115)+COUNTBLANK('Lista de Preços'!$L115)+COUNTBLANK('Lista de Preços'!$M115)+COUNTBLANK('Lista de Preços'!$P115)+COUNTBLANK('Lista de Preços'!$U115)+COUNTBLANK('Lista de Preços'!$V115))&gt;0,"ERRO","OK"),"")</f>
        <v/>
      </c>
      <c r="D126" s="27" t="str">
        <f aca="false">IF(COUNTA('Lista de Preços'!$A115:$W115)&gt;0,IF(OR(AND('Lista de Preços'!$L115&lt;&gt;"",NOT(ISNUMBER('Lista de Preços'!$L115))),AND('Lista de Preços'!$M115&lt;&gt;"",NOT(ISNUMBER('Lista de Preços'!$M115)))),"ERRO","OK"),"")</f>
        <v/>
      </c>
      <c r="E126" s="27" t="str">
        <f aca="false">IF(COUNTA('Lista de Preços'!$A115:$W115)&gt;0,IF(AND(ISNUMBER('Lista de Preços'!$L115),ISNUMBER('Lista de Preços'!$M115),'Lista de Preços'!$L115&gt;'Lista de Preços'!$M115),"ERRO","OK"),"")</f>
        <v/>
      </c>
      <c r="F126" s="27" t="str">
        <f aca="true">IF(COUNTA('Lista de Preços'!$A115:$W115)&gt;0,IF(AND('Lista de Preços'!$S115&lt;&gt;"",ISNUMBER('Lista de Preços'!$S115),'Lista de Preços'!$S115&lt;TODAY()),"ERRO","OK"),"")</f>
        <v/>
      </c>
      <c r="G126" s="27" t="str">
        <f aca="false">IF(COUNTA('Lista de Preços'!$A115:$W115)&gt;0,IF(AND('Lista de Preços'!$A115&lt;&gt;"",COUNTIF('Lista de Preços'!$A$4:$A$503,'Lista de Preços'!$A115)&gt;1),"ERRO","OK"),"")</f>
        <v/>
      </c>
      <c r="H126" s="27" t="str">
        <f aca="false">IF(COUNTA('Lista de Preços'!$A115:$W115)&gt;0,IF(AND('Lista de Preços'!$N115&lt;&gt;"",ISNUMBER('Lista de Preços'!$N115),OR('Lista de Preços'!$N115&lt;0,'Lista de Preços'!$N115&gt;0.5)),"ERRO","OK"),"")</f>
        <v/>
      </c>
      <c r="I126" s="27" t="str">
        <f aca="false">IF(COUNTA('Lista de Preços'!$A115:$W115)&gt;0,IF(OR($C126="ERRO",$D126="ERRO",$E126="ERRO",$F126="ERRO",$G126="ERRO",$H126="ERRO"),"FALHA","OK"),"")</f>
        <v/>
      </c>
    </row>
    <row r="127" customFormat="false" ht="15" hidden="false" customHeight="false" outlineLevel="0" collapsed="false">
      <c r="A127" s="26" t="n">
        <f aca="false">'Lista de Preços'!$A116</f>
        <v>0</v>
      </c>
      <c r="B127" s="26" t="n">
        <f aca="false">'Lista de Preços'!$B116</f>
        <v>0</v>
      </c>
      <c r="C127" s="27" t="str">
        <f aca="false">IF(COUNTA('Lista de Preços'!$A116:$W116)&gt;0,IF((COUNTBLANK('Lista de Preços'!$A116)+COUNTBLANK('Lista de Preços'!$B116)+COUNTBLANK('Lista de Preços'!$C116)+COUNTBLANK('Lista de Preços'!$D116)+COUNTBLANK('Lista de Preços'!$E116)+COUNTBLANK('Lista de Preços'!$F116)+COUNTBLANK('Lista de Preços'!$L116)+COUNTBLANK('Lista de Preços'!$M116)+COUNTBLANK('Lista de Preços'!$P116)+COUNTBLANK('Lista de Preços'!$U116)+COUNTBLANK('Lista de Preços'!$V116))&gt;0,"ERRO","OK"),"")</f>
        <v/>
      </c>
      <c r="D127" s="27" t="str">
        <f aca="false">IF(COUNTA('Lista de Preços'!$A116:$W116)&gt;0,IF(OR(AND('Lista de Preços'!$L116&lt;&gt;"",NOT(ISNUMBER('Lista de Preços'!$L116))),AND('Lista de Preços'!$M116&lt;&gt;"",NOT(ISNUMBER('Lista de Preços'!$M116)))),"ERRO","OK"),"")</f>
        <v/>
      </c>
      <c r="E127" s="27" t="str">
        <f aca="false">IF(COUNTA('Lista de Preços'!$A116:$W116)&gt;0,IF(AND(ISNUMBER('Lista de Preços'!$L116),ISNUMBER('Lista de Preços'!$M116),'Lista de Preços'!$L116&gt;'Lista de Preços'!$M116),"ERRO","OK"),"")</f>
        <v/>
      </c>
      <c r="F127" s="27" t="str">
        <f aca="true">IF(COUNTA('Lista de Preços'!$A116:$W116)&gt;0,IF(AND('Lista de Preços'!$S116&lt;&gt;"",ISNUMBER('Lista de Preços'!$S116),'Lista de Preços'!$S116&lt;TODAY()),"ERRO","OK"),"")</f>
        <v/>
      </c>
      <c r="G127" s="27" t="str">
        <f aca="false">IF(COUNTA('Lista de Preços'!$A116:$W116)&gt;0,IF(AND('Lista de Preços'!$A116&lt;&gt;"",COUNTIF('Lista de Preços'!$A$4:$A$503,'Lista de Preços'!$A116)&gt;1),"ERRO","OK"),"")</f>
        <v/>
      </c>
      <c r="H127" s="27" t="str">
        <f aca="false">IF(COUNTA('Lista de Preços'!$A116:$W116)&gt;0,IF(AND('Lista de Preços'!$N116&lt;&gt;"",ISNUMBER('Lista de Preços'!$N116),OR('Lista de Preços'!$N116&lt;0,'Lista de Preços'!$N116&gt;0.5)),"ERRO","OK"),"")</f>
        <v/>
      </c>
      <c r="I127" s="27" t="str">
        <f aca="false">IF(COUNTA('Lista de Preços'!$A116:$W116)&gt;0,IF(OR($C127="ERRO",$D127="ERRO",$E127="ERRO",$F127="ERRO",$G127="ERRO",$H127="ERRO"),"FALHA","OK"),"")</f>
        <v/>
      </c>
    </row>
    <row r="128" customFormat="false" ht="15" hidden="false" customHeight="false" outlineLevel="0" collapsed="false">
      <c r="A128" s="26" t="n">
        <f aca="false">'Lista de Preços'!$A117</f>
        <v>0</v>
      </c>
      <c r="B128" s="26" t="n">
        <f aca="false">'Lista de Preços'!$B117</f>
        <v>0</v>
      </c>
      <c r="C128" s="27" t="str">
        <f aca="false">IF(COUNTA('Lista de Preços'!$A117:$W117)&gt;0,IF((COUNTBLANK('Lista de Preços'!$A117)+COUNTBLANK('Lista de Preços'!$B117)+COUNTBLANK('Lista de Preços'!$C117)+COUNTBLANK('Lista de Preços'!$D117)+COUNTBLANK('Lista de Preços'!$E117)+COUNTBLANK('Lista de Preços'!$F117)+COUNTBLANK('Lista de Preços'!$L117)+COUNTBLANK('Lista de Preços'!$M117)+COUNTBLANK('Lista de Preços'!$P117)+COUNTBLANK('Lista de Preços'!$U117)+COUNTBLANK('Lista de Preços'!$V117))&gt;0,"ERRO","OK"),"")</f>
        <v/>
      </c>
      <c r="D128" s="27" t="str">
        <f aca="false">IF(COUNTA('Lista de Preços'!$A117:$W117)&gt;0,IF(OR(AND('Lista de Preços'!$L117&lt;&gt;"",NOT(ISNUMBER('Lista de Preços'!$L117))),AND('Lista de Preços'!$M117&lt;&gt;"",NOT(ISNUMBER('Lista de Preços'!$M117)))),"ERRO","OK"),"")</f>
        <v/>
      </c>
      <c r="E128" s="27" t="str">
        <f aca="false">IF(COUNTA('Lista de Preços'!$A117:$W117)&gt;0,IF(AND(ISNUMBER('Lista de Preços'!$L117),ISNUMBER('Lista de Preços'!$M117),'Lista de Preços'!$L117&gt;'Lista de Preços'!$M117),"ERRO","OK"),"")</f>
        <v/>
      </c>
      <c r="F128" s="27" t="str">
        <f aca="true">IF(COUNTA('Lista de Preços'!$A117:$W117)&gt;0,IF(AND('Lista de Preços'!$S117&lt;&gt;"",ISNUMBER('Lista de Preços'!$S117),'Lista de Preços'!$S117&lt;TODAY()),"ERRO","OK"),"")</f>
        <v/>
      </c>
      <c r="G128" s="27" t="str">
        <f aca="false">IF(COUNTA('Lista de Preços'!$A117:$W117)&gt;0,IF(AND('Lista de Preços'!$A117&lt;&gt;"",COUNTIF('Lista de Preços'!$A$4:$A$503,'Lista de Preços'!$A117)&gt;1),"ERRO","OK"),"")</f>
        <v/>
      </c>
      <c r="H128" s="27" t="str">
        <f aca="false">IF(COUNTA('Lista de Preços'!$A117:$W117)&gt;0,IF(AND('Lista de Preços'!$N117&lt;&gt;"",ISNUMBER('Lista de Preços'!$N117),OR('Lista de Preços'!$N117&lt;0,'Lista de Preços'!$N117&gt;0.5)),"ERRO","OK"),"")</f>
        <v/>
      </c>
      <c r="I128" s="27" t="str">
        <f aca="false">IF(COUNTA('Lista de Preços'!$A117:$W117)&gt;0,IF(OR($C128="ERRO",$D128="ERRO",$E128="ERRO",$F128="ERRO",$G128="ERRO",$H128="ERRO"),"FALHA","OK"),"")</f>
        <v/>
      </c>
    </row>
    <row r="129" customFormat="false" ht="15" hidden="false" customHeight="false" outlineLevel="0" collapsed="false">
      <c r="A129" s="26" t="n">
        <f aca="false">'Lista de Preços'!$A118</f>
        <v>0</v>
      </c>
      <c r="B129" s="26" t="n">
        <f aca="false">'Lista de Preços'!$B118</f>
        <v>0</v>
      </c>
      <c r="C129" s="27" t="str">
        <f aca="false">IF(COUNTA('Lista de Preços'!$A118:$W118)&gt;0,IF((COUNTBLANK('Lista de Preços'!$A118)+COUNTBLANK('Lista de Preços'!$B118)+COUNTBLANK('Lista de Preços'!$C118)+COUNTBLANK('Lista de Preços'!$D118)+COUNTBLANK('Lista de Preços'!$E118)+COUNTBLANK('Lista de Preços'!$F118)+COUNTBLANK('Lista de Preços'!$L118)+COUNTBLANK('Lista de Preços'!$M118)+COUNTBLANK('Lista de Preços'!$P118)+COUNTBLANK('Lista de Preços'!$U118)+COUNTBLANK('Lista de Preços'!$V118))&gt;0,"ERRO","OK"),"")</f>
        <v/>
      </c>
      <c r="D129" s="27" t="str">
        <f aca="false">IF(COUNTA('Lista de Preços'!$A118:$W118)&gt;0,IF(OR(AND('Lista de Preços'!$L118&lt;&gt;"",NOT(ISNUMBER('Lista de Preços'!$L118))),AND('Lista de Preços'!$M118&lt;&gt;"",NOT(ISNUMBER('Lista de Preços'!$M118)))),"ERRO","OK"),"")</f>
        <v/>
      </c>
      <c r="E129" s="27" t="str">
        <f aca="false">IF(COUNTA('Lista de Preços'!$A118:$W118)&gt;0,IF(AND(ISNUMBER('Lista de Preços'!$L118),ISNUMBER('Lista de Preços'!$M118),'Lista de Preços'!$L118&gt;'Lista de Preços'!$M118),"ERRO","OK"),"")</f>
        <v/>
      </c>
      <c r="F129" s="27" t="str">
        <f aca="true">IF(COUNTA('Lista de Preços'!$A118:$W118)&gt;0,IF(AND('Lista de Preços'!$S118&lt;&gt;"",ISNUMBER('Lista de Preços'!$S118),'Lista de Preços'!$S118&lt;TODAY()),"ERRO","OK"),"")</f>
        <v/>
      </c>
      <c r="G129" s="27" t="str">
        <f aca="false">IF(COUNTA('Lista de Preços'!$A118:$W118)&gt;0,IF(AND('Lista de Preços'!$A118&lt;&gt;"",COUNTIF('Lista de Preços'!$A$4:$A$503,'Lista de Preços'!$A118)&gt;1),"ERRO","OK"),"")</f>
        <v/>
      </c>
      <c r="H129" s="27" t="str">
        <f aca="false">IF(COUNTA('Lista de Preços'!$A118:$W118)&gt;0,IF(AND('Lista de Preços'!$N118&lt;&gt;"",ISNUMBER('Lista de Preços'!$N118),OR('Lista de Preços'!$N118&lt;0,'Lista de Preços'!$N118&gt;0.5)),"ERRO","OK"),"")</f>
        <v/>
      </c>
      <c r="I129" s="27" t="str">
        <f aca="false">IF(COUNTA('Lista de Preços'!$A118:$W118)&gt;0,IF(OR($C129="ERRO",$D129="ERRO",$E129="ERRO",$F129="ERRO",$G129="ERRO",$H129="ERRO"),"FALHA","OK"),"")</f>
        <v/>
      </c>
    </row>
    <row r="130" customFormat="false" ht="15" hidden="false" customHeight="false" outlineLevel="0" collapsed="false">
      <c r="A130" s="26" t="n">
        <f aca="false">'Lista de Preços'!$A119</f>
        <v>0</v>
      </c>
      <c r="B130" s="26" t="n">
        <f aca="false">'Lista de Preços'!$B119</f>
        <v>0</v>
      </c>
      <c r="C130" s="27" t="str">
        <f aca="false">IF(COUNTA('Lista de Preços'!$A119:$W119)&gt;0,IF((COUNTBLANK('Lista de Preços'!$A119)+COUNTBLANK('Lista de Preços'!$B119)+COUNTBLANK('Lista de Preços'!$C119)+COUNTBLANK('Lista de Preços'!$D119)+COUNTBLANK('Lista de Preços'!$E119)+COUNTBLANK('Lista de Preços'!$F119)+COUNTBLANK('Lista de Preços'!$L119)+COUNTBLANK('Lista de Preços'!$M119)+COUNTBLANK('Lista de Preços'!$P119)+COUNTBLANK('Lista de Preços'!$U119)+COUNTBLANK('Lista de Preços'!$V119))&gt;0,"ERRO","OK"),"")</f>
        <v/>
      </c>
      <c r="D130" s="27" t="str">
        <f aca="false">IF(COUNTA('Lista de Preços'!$A119:$W119)&gt;0,IF(OR(AND('Lista de Preços'!$L119&lt;&gt;"",NOT(ISNUMBER('Lista de Preços'!$L119))),AND('Lista de Preços'!$M119&lt;&gt;"",NOT(ISNUMBER('Lista de Preços'!$M119)))),"ERRO","OK"),"")</f>
        <v/>
      </c>
      <c r="E130" s="27" t="str">
        <f aca="false">IF(COUNTA('Lista de Preços'!$A119:$W119)&gt;0,IF(AND(ISNUMBER('Lista de Preços'!$L119),ISNUMBER('Lista de Preços'!$M119),'Lista de Preços'!$L119&gt;'Lista de Preços'!$M119),"ERRO","OK"),"")</f>
        <v/>
      </c>
      <c r="F130" s="27" t="str">
        <f aca="true">IF(COUNTA('Lista de Preços'!$A119:$W119)&gt;0,IF(AND('Lista de Preços'!$S119&lt;&gt;"",ISNUMBER('Lista de Preços'!$S119),'Lista de Preços'!$S119&lt;TODAY()),"ERRO","OK"),"")</f>
        <v/>
      </c>
      <c r="G130" s="27" t="str">
        <f aca="false">IF(COUNTA('Lista de Preços'!$A119:$W119)&gt;0,IF(AND('Lista de Preços'!$A119&lt;&gt;"",COUNTIF('Lista de Preços'!$A$4:$A$503,'Lista de Preços'!$A119)&gt;1),"ERRO","OK"),"")</f>
        <v/>
      </c>
      <c r="H130" s="27" t="str">
        <f aca="false">IF(COUNTA('Lista de Preços'!$A119:$W119)&gt;0,IF(AND('Lista de Preços'!$N119&lt;&gt;"",ISNUMBER('Lista de Preços'!$N119),OR('Lista de Preços'!$N119&lt;0,'Lista de Preços'!$N119&gt;0.5)),"ERRO","OK"),"")</f>
        <v/>
      </c>
      <c r="I130" s="27" t="str">
        <f aca="false">IF(COUNTA('Lista de Preços'!$A119:$W119)&gt;0,IF(OR($C130="ERRO",$D130="ERRO",$E130="ERRO",$F130="ERRO",$G130="ERRO",$H130="ERRO"),"FALHA","OK"),"")</f>
        <v/>
      </c>
    </row>
    <row r="131" customFormat="false" ht="15" hidden="false" customHeight="false" outlineLevel="0" collapsed="false">
      <c r="A131" s="26" t="n">
        <f aca="false">'Lista de Preços'!$A120</f>
        <v>0</v>
      </c>
      <c r="B131" s="26" t="n">
        <f aca="false">'Lista de Preços'!$B120</f>
        <v>0</v>
      </c>
      <c r="C131" s="27" t="str">
        <f aca="false">IF(COUNTA('Lista de Preços'!$A120:$W120)&gt;0,IF((COUNTBLANK('Lista de Preços'!$A120)+COUNTBLANK('Lista de Preços'!$B120)+COUNTBLANK('Lista de Preços'!$C120)+COUNTBLANK('Lista de Preços'!$D120)+COUNTBLANK('Lista de Preços'!$E120)+COUNTBLANK('Lista de Preços'!$F120)+COUNTBLANK('Lista de Preços'!$L120)+COUNTBLANK('Lista de Preços'!$M120)+COUNTBLANK('Lista de Preços'!$P120)+COUNTBLANK('Lista de Preços'!$U120)+COUNTBLANK('Lista de Preços'!$V120))&gt;0,"ERRO","OK"),"")</f>
        <v/>
      </c>
      <c r="D131" s="27" t="str">
        <f aca="false">IF(COUNTA('Lista de Preços'!$A120:$W120)&gt;0,IF(OR(AND('Lista de Preços'!$L120&lt;&gt;"",NOT(ISNUMBER('Lista de Preços'!$L120))),AND('Lista de Preços'!$M120&lt;&gt;"",NOT(ISNUMBER('Lista de Preços'!$M120)))),"ERRO","OK"),"")</f>
        <v/>
      </c>
      <c r="E131" s="27" t="str">
        <f aca="false">IF(COUNTA('Lista de Preços'!$A120:$W120)&gt;0,IF(AND(ISNUMBER('Lista de Preços'!$L120),ISNUMBER('Lista de Preços'!$M120),'Lista de Preços'!$L120&gt;'Lista de Preços'!$M120),"ERRO","OK"),"")</f>
        <v/>
      </c>
      <c r="F131" s="27" t="str">
        <f aca="true">IF(COUNTA('Lista de Preços'!$A120:$W120)&gt;0,IF(AND('Lista de Preços'!$S120&lt;&gt;"",ISNUMBER('Lista de Preços'!$S120),'Lista de Preços'!$S120&lt;TODAY()),"ERRO","OK"),"")</f>
        <v/>
      </c>
      <c r="G131" s="27" t="str">
        <f aca="false">IF(COUNTA('Lista de Preços'!$A120:$W120)&gt;0,IF(AND('Lista de Preços'!$A120&lt;&gt;"",COUNTIF('Lista de Preços'!$A$4:$A$503,'Lista de Preços'!$A120)&gt;1),"ERRO","OK"),"")</f>
        <v/>
      </c>
      <c r="H131" s="27" t="str">
        <f aca="false">IF(COUNTA('Lista de Preços'!$A120:$W120)&gt;0,IF(AND('Lista de Preços'!$N120&lt;&gt;"",ISNUMBER('Lista de Preços'!$N120),OR('Lista de Preços'!$N120&lt;0,'Lista de Preços'!$N120&gt;0.5)),"ERRO","OK"),"")</f>
        <v/>
      </c>
      <c r="I131" s="27" t="str">
        <f aca="false">IF(COUNTA('Lista de Preços'!$A120:$W120)&gt;0,IF(OR($C131="ERRO",$D131="ERRO",$E131="ERRO",$F131="ERRO",$G131="ERRO",$H131="ERRO"),"FALHA","OK"),"")</f>
        <v/>
      </c>
    </row>
    <row r="132" customFormat="false" ht="15" hidden="false" customHeight="false" outlineLevel="0" collapsed="false">
      <c r="A132" s="26" t="n">
        <f aca="false">'Lista de Preços'!$A121</f>
        <v>0</v>
      </c>
      <c r="B132" s="26" t="n">
        <f aca="false">'Lista de Preços'!$B121</f>
        <v>0</v>
      </c>
      <c r="C132" s="27" t="str">
        <f aca="false">IF(COUNTA('Lista de Preços'!$A121:$W121)&gt;0,IF((COUNTBLANK('Lista de Preços'!$A121)+COUNTBLANK('Lista de Preços'!$B121)+COUNTBLANK('Lista de Preços'!$C121)+COUNTBLANK('Lista de Preços'!$D121)+COUNTBLANK('Lista de Preços'!$E121)+COUNTBLANK('Lista de Preços'!$F121)+COUNTBLANK('Lista de Preços'!$L121)+COUNTBLANK('Lista de Preços'!$M121)+COUNTBLANK('Lista de Preços'!$P121)+COUNTBLANK('Lista de Preços'!$U121)+COUNTBLANK('Lista de Preços'!$V121))&gt;0,"ERRO","OK"),"")</f>
        <v/>
      </c>
      <c r="D132" s="27" t="str">
        <f aca="false">IF(COUNTA('Lista de Preços'!$A121:$W121)&gt;0,IF(OR(AND('Lista de Preços'!$L121&lt;&gt;"",NOT(ISNUMBER('Lista de Preços'!$L121))),AND('Lista de Preços'!$M121&lt;&gt;"",NOT(ISNUMBER('Lista de Preços'!$M121)))),"ERRO","OK"),"")</f>
        <v/>
      </c>
      <c r="E132" s="27" t="str">
        <f aca="false">IF(COUNTA('Lista de Preços'!$A121:$W121)&gt;0,IF(AND(ISNUMBER('Lista de Preços'!$L121),ISNUMBER('Lista de Preços'!$M121),'Lista de Preços'!$L121&gt;'Lista de Preços'!$M121),"ERRO","OK"),"")</f>
        <v/>
      </c>
      <c r="F132" s="27" t="str">
        <f aca="true">IF(COUNTA('Lista de Preços'!$A121:$W121)&gt;0,IF(AND('Lista de Preços'!$S121&lt;&gt;"",ISNUMBER('Lista de Preços'!$S121),'Lista de Preços'!$S121&lt;TODAY()),"ERRO","OK"),"")</f>
        <v/>
      </c>
      <c r="G132" s="27" t="str">
        <f aca="false">IF(COUNTA('Lista de Preços'!$A121:$W121)&gt;0,IF(AND('Lista de Preços'!$A121&lt;&gt;"",COUNTIF('Lista de Preços'!$A$4:$A$503,'Lista de Preços'!$A121)&gt;1),"ERRO","OK"),"")</f>
        <v/>
      </c>
      <c r="H132" s="27" t="str">
        <f aca="false">IF(COUNTA('Lista de Preços'!$A121:$W121)&gt;0,IF(AND('Lista de Preços'!$N121&lt;&gt;"",ISNUMBER('Lista de Preços'!$N121),OR('Lista de Preços'!$N121&lt;0,'Lista de Preços'!$N121&gt;0.5)),"ERRO","OK"),"")</f>
        <v/>
      </c>
      <c r="I132" s="27" t="str">
        <f aca="false">IF(COUNTA('Lista de Preços'!$A121:$W121)&gt;0,IF(OR($C132="ERRO",$D132="ERRO",$E132="ERRO",$F132="ERRO",$G132="ERRO",$H132="ERRO"),"FALHA","OK"),"")</f>
        <v/>
      </c>
    </row>
    <row r="133" customFormat="false" ht="15" hidden="false" customHeight="false" outlineLevel="0" collapsed="false">
      <c r="A133" s="26" t="n">
        <f aca="false">'Lista de Preços'!$A122</f>
        <v>0</v>
      </c>
      <c r="B133" s="26" t="n">
        <f aca="false">'Lista de Preços'!$B122</f>
        <v>0</v>
      </c>
      <c r="C133" s="27" t="str">
        <f aca="false">IF(COUNTA('Lista de Preços'!$A122:$W122)&gt;0,IF((COUNTBLANK('Lista de Preços'!$A122)+COUNTBLANK('Lista de Preços'!$B122)+COUNTBLANK('Lista de Preços'!$C122)+COUNTBLANK('Lista de Preços'!$D122)+COUNTBLANK('Lista de Preços'!$E122)+COUNTBLANK('Lista de Preços'!$F122)+COUNTBLANK('Lista de Preços'!$L122)+COUNTBLANK('Lista de Preços'!$M122)+COUNTBLANK('Lista de Preços'!$P122)+COUNTBLANK('Lista de Preços'!$U122)+COUNTBLANK('Lista de Preços'!$V122))&gt;0,"ERRO","OK"),"")</f>
        <v/>
      </c>
      <c r="D133" s="27" t="str">
        <f aca="false">IF(COUNTA('Lista de Preços'!$A122:$W122)&gt;0,IF(OR(AND('Lista de Preços'!$L122&lt;&gt;"",NOT(ISNUMBER('Lista de Preços'!$L122))),AND('Lista de Preços'!$M122&lt;&gt;"",NOT(ISNUMBER('Lista de Preços'!$M122)))),"ERRO","OK"),"")</f>
        <v/>
      </c>
      <c r="E133" s="27" t="str">
        <f aca="false">IF(COUNTA('Lista de Preços'!$A122:$W122)&gt;0,IF(AND(ISNUMBER('Lista de Preços'!$L122),ISNUMBER('Lista de Preços'!$M122),'Lista de Preços'!$L122&gt;'Lista de Preços'!$M122),"ERRO","OK"),"")</f>
        <v/>
      </c>
      <c r="F133" s="27" t="str">
        <f aca="true">IF(COUNTA('Lista de Preços'!$A122:$W122)&gt;0,IF(AND('Lista de Preços'!$S122&lt;&gt;"",ISNUMBER('Lista de Preços'!$S122),'Lista de Preços'!$S122&lt;TODAY()),"ERRO","OK"),"")</f>
        <v/>
      </c>
      <c r="G133" s="27" t="str">
        <f aca="false">IF(COUNTA('Lista de Preços'!$A122:$W122)&gt;0,IF(AND('Lista de Preços'!$A122&lt;&gt;"",COUNTIF('Lista de Preços'!$A$4:$A$503,'Lista de Preços'!$A122)&gt;1),"ERRO","OK"),"")</f>
        <v/>
      </c>
      <c r="H133" s="27" t="str">
        <f aca="false">IF(COUNTA('Lista de Preços'!$A122:$W122)&gt;0,IF(AND('Lista de Preços'!$N122&lt;&gt;"",ISNUMBER('Lista de Preços'!$N122),OR('Lista de Preços'!$N122&lt;0,'Lista de Preços'!$N122&gt;0.5)),"ERRO","OK"),"")</f>
        <v/>
      </c>
      <c r="I133" s="27" t="str">
        <f aca="false">IF(COUNTA('Lista de Preços'!$A122:$W122)&gt;0,IF(OR($C133="ERRO",$D133="ERRO",$E133="ERRO",$F133="ERRO",$G133="ERRO",$H133="ERRO"),"FALHA","OK"),"")</f>
        <v/>
      </c>
    </row>
    <row r="134" customFormat="false" ht="15" hidden="false" customHeight="false" outlineLevel="0" collapsed="false">
      <c r="A134" s="26" t="n">
        <f aca="false">'Lista de Preços'!$A123</f>
        <v>0</v>
      </c>
      <c r="B134" s="26" t="n">
        <f aca="false">'Lista de Preços'!$B123</f>
        <v>0</v>
      </c>
      <c r="C134" s="27" t="str">
        <f aca="false">IF(COUNTA('Lista de Preços'!$A123:$W123)&gt;0,IF((COUNTBLANK('Lista de Preços'!$A123)+COUNTBLANK('Lista de Preços'!$B123)+COUNTBLANK('Lista de Preços'!$C123)+COUNTBLANK('Lista de Preços'!$D123)+COUNTBLANK('Lista de Preços'!$E123)+COUNTBLANK('Lista de Preços'!$F123)+COUNTBLANK('Lista de Preços'!$L123)+COUNTBLANK('Lista de Preços'!$M123)+COUNTBLANK('Lista de Preços'!$P123)+COUNTBLANK('Lista de Preços'!$U123)+COUNTBLANK('Lista de Preços'!$V123))&gt;0,"ERRO","OK"),"")</f>
        <v/>
      </c>
      <c r="D134" s="27" t="str">
        <f aca="false">IF(COUNTA('Lista de Preços'!$A123:$W123)&gt;0,IF(OR(AND('Lista de Preços'!$L123&lt;&gt;"",NOT(ISNUMBER('Lista de Preços'!$L123))),AND('Lista de Preços'!$M123&lt;&gt;"",NOT(ISNUMBER('Lista de Preços'!$M123)))),"ERRO","OK"),"")</f>
        <v/>
      </c>
      <c r="E134" s="27" t="str">
        <f aca="false">IF(COUNTA('Lista de Preços'!$A123:$W123)&gt;0,IF(AND(ISNUMBER('Lista de Preços'!$L123),ISNUMBER('Lista de Preços'!$M123),'Lista de Preços'!$L123&gt;'Lista de Preços'!$M123),"ERRO","OK"),"")</f>
        <v/>
      </c>
      <c r="F134" s="27" t="str">
        <f aca="true">IF(COUNTA('Lista de Preços'!$A123:$W123)&gt;0,IF(AND('Lista de Preços'!$S123&lt;&gt;"",ISNUMBER('Lista de Preços'!$S123),'Lista de Preços'!$S123&lt;TODAY()),"ERRO","OK"),"")</f>
        <v/>
      </c>
      <c r="G134" s="27" t="str">
        <f aca="false">IF(COUNTA('Lista de Preços'!$A123:$W123)&gt;0,IF(AND('Lista de Preços'!$A123&lt;&gt;"",COUNTIF('Lista de Preços'!$A$4:$A$503,'Lista de Preços'!$A123)&gt;1),"ERRO","OK"),"")</f>
        <v/>
      </c>
      <c r="H134" s="27" t="str">
        <f aca="false">IF(COUNTA('Lista de Preços'!$A123:$W123)&gt;0,IF(AND('Lista de Preços'!$N123&lt;&gt;"",ISNUMBER('Lista de Preços'!$N123),OR('Lista de Preços'!$N123&lt;0,'Lista de Preços'!$N123&gt;0.5)),"ERRO","OK"),"")</f>
        <v/>
      </c>
      <c r="I134" s="27" t="str">
        <f aca="false">IF(COUNTA('Lista de Preços'!$A123:$W123)&gt;0,IF(OR($C134="ERRO",$D134="ERRO",$E134="ERRO",$F134="ERRO",$G134="ERRO",$H134="ERRO"),"FALHA","OK"),"")</f>
        <v/>
      </c>
    </row>
    <row r="135" customFormat="false" ht="15" hidden="false" customHeight="false" outlineLevel="0" collapsed="false">
      <c r="A135" s="26" t="n">
        <f aca="false">'Lista de Preços'!$A124</f>
        <v>0</v>
      </c>
      <c r="B135" s="26" t="n">
        <f aca="false">'Lista de Preços'!$B124</f>
        <v>0</v>
      </c>
      <c r="C135" s="27" t="str">
        <f aca="false">IF(COUNTA('Lista de Preços'!$A124:$W124)&gt;0,IF((COUNTBLANK('Lista de Preços'!$A124)+COUNTBLANK('Lista de Preços'!$B124)+COUNTBLANK('Lista de Preços'!$C124)+COUNTBLANK('Lista de Preços'!$D124)+COUNTBLANK('Lista de Preços'!$E124)+COUNTBLANK('Lista de Preços'!$F124)+COUNTBLANK('Lista de Preços'!$L124)+COUNTBLANK('Lista de Preços'!$M124)+COUNTBLANK('Lista de Preços'!$P124)+COUNTBLANK('Lista de Preços'!$U124)+COUNTBLANK('Lista de Preços'!$V124))&gt;0,"ERRO","OK"),"")</f>
        <v/>
      </c>
      <c r="D135" s="27" t="str">
        <f aca="false">IF(COUNTA('Lista de Preços'!$A124:$W124)&gt;0,IF(OR(AND('Lista de Preços'!$L124&lt;&gt;"",NOT(ISNUMBER('Lista de Preços'!$L124))),AND('Lista de Preços'!$M124&lt;&gt;"",NOT(ISNUMBER('Lista de Preços'!$M124)))),"ERRO","OK"),"")</f>
        <v/>
      </c>
      <c r="E135" s="27" t="str">
        <f aca="false">IF(COUNTA('Lista de Preços'!$A124:$W124)&gt;0,IF(AND(ISNUMBER('Lista de Preços'!$L124),ISNUMBER('Lista de Preços'!$M124),'Lista de Preços'!$L124&gt;'Lista de Preços'!$M124),"ERRO","OK"),"")</f>
        <v/>
      </c>
      <c r="F135" s="27" t="str">
        <f aca="true">IF(COUNTA('Lista de Preços'!$A124:$W124)&gt;0,IF(AND('Lista de Preços'!$S124&lt;&gt;"",ISNUMBER('Lista de Preços'!$S124),'Lista de Preços'!$S124&lt;TODAY()),"ERRO","OK"),"")</f>
        <v/>
      </c>
      <c r="G135" s="27" t="str">
        <f aca="false">IF(COUNTA('Lista de Preços'!$A124:$W124)&gt;0,IF(AND('Lista de Preços'!$A124&lt;&gt;"",COUNTIF('Lista de Preços'!$A$4:$A$503,'Lista de Preços'!$A124)&gt;1),"ERRO","OK"),"")</f>
        <v/>
      </c>
      <c r="H135" s="27" t="str">
        <f aca="false">IF(COUNTA('Lista de Preços'!$A124:$W124)&gt;0,IF(AND('Lista de Preços'!$N124&lt;&gt;"",ISNUMBER('Lista de Preços'!$N124),OR('Lista de Preços'!$N124&lt;0,'Lista de Preços'!$N124&gt;0.5)),"ERRO","OK"),"")</f>
        <v/>
      </c>
      <c r="I135" s="27" t="str">
        <f aca="false">IF(COUNTA('Lista de Preços'!$A124:$W124)&gt;0,IF(OR($C135="ERRO",$D135="ERRO",$E135="ERRO",$F135="ERRO",$G135="ERRO",$H135="ERRO"),"FALHA","OK"),"")</f>
        <v/>
      </c>
    </row>
    <row r="136" customFormat="false" ht="15" hidden="false" customHeight="false" outlineLevel="0" collapsed="false">
      <c r="A136" s="26" t="n">
        <f aca="false">'Lista de Preços'!$A125</f>
        <v>0</v>
      </c>
      <c r="B136" s="26" t="n">
        <f aca="false">'Lista de Preços'!$B125</f>
        <v>0</v>
      </c>
      <c r="C136" s="27" t="str">
        <f aca="false">IF(COUNTA('Lista de Preços'!$A125:$W125)&gt;0,IF((COUNTBLANK('Lista de Preços'!$A125)+COUNTBLANK('Lista de Preços'!$B125)+COUNTBLANK('Lista de Preços'!$C125)+COUNTBLANK('Lista de Preços'!$D125)+COUNTBLANK('Lista de Preços'!$E125)+COUNTBLANK('Lista de Preços'!$F125)+COUNTBLANK('Lista de Preços'!$L125)+COUNTBLANK('Lista de Preços'!$M125)+COUNTBLANK('Lista de Preços'!$P125)+COUNTBLANK('Lista de Preços'!$U125)+COUNTBLANK('Lista de Preços'!$V125))&gt;0,"ERRO","OK"),"")</f>
        <v/>
      </c>
      <c r="D136" s="27" t="str">
        <f aca="false">IF(COUNTA('Lista de Preços'!$A125:$W125)&gt;0,IF(OR(AND('Lista de Preços'!$L125&lt;&gt;"",NOT(ISNUMBER('Lista de Preços'!$L125))),AND('Lista de Preços'!$M125&lt;&gt;"",NOT(ISNUMBER('Lista de Preços'!$M125)))),"ERRO","OK"),"")</f>
        <v/>
      </c>
      <c r="E136" s="27" t="str">
        <f aca="false">IF(COUNTA('Lista de Preços'!$A125:$W125)&gt;0,IF(AND(ISNUMBER('Lista de Preços'!$L125),ISNUMBER('Lista de Preços'!$M125),'Lista de Preços'!$L125&gt;'Lista de Preços'!$M125),"ERRO","OK"),"")</f>
        <v/>
      </c>
      <c r="F136" s="27" t="str">
        <f aca="true">IF(COUNTA('Lista de Preços'!$A125:$W125)&gt;0,IF(AND('Lista de Preços'!$S125&lt;&gt;"",ISNUMBER('Lista de Preços'!$S125),'Lista de Preços'!$S125&lt;TODAY()),"ERRO","OK"),"")</f>
        <v/>
      </c>
      <c r="G136" s="27" t="str">
        <f aca="false">IF(COUNTA('Lista de Preços'!$A125:$W125)&gt;0,IF(AND('Lista de Preços'!$A125&lt;&gt;"",COUNTIF('Lista de Preços'!$A$4:$A$503,'Lista de Preços'!$A125)&gt;1),"ERRO","OK"),"")</f>
        <v/>
      </c>
      <c r="H136" s="27" t="str">
        <f aca="false">IF(COUNTA('Lista de Preços'!$A125:$W125)&gt;0,IF(AND('Lista de Preços'!$N125&lt;&gt;"",ISNUMBER('Lista de Preços'!$N125),OR('Lista de Preços'!$N125&lt;0,'Lista de Preços'!$N125&gt;0.5)),"ERRO","OK"),"")</f>
        <v/>
      </c>
      <c r="I136" s="27" t="str">
        <f aca="false">IF(COUNTA('Lista de Preços'!$A125:$W125)&gt;0,IF(OR($C136="ERRO",$D136="ERRO",$E136="ERRO",$F136="ERRO",$G136="ERRO",$H136="ERRO"),"FALHA","OK"),"")</f>
        <v/>
      </c>
    </row>
    <row r="137" customFormat="false" ht="15" hidden="false" customHeight="false" outlineLevel="0" collapsed="false">
      <c r="A137" s="26" t="n">
        <f aca="false">'Lista de Preços'!$A126</f>
        <v>0</v>
      </c>
      <c r="B137" s="26" t="n">
        <f aca="false">'Lista de Preços'!$B126</f>
        <v>0</v>
      </c>
      <c r="C137" s="27" t="str">
        <f aca="false">IF(COUNTA('Lista de Preços'!$A126:$W126)&gt;0,IF((COUNTBLANK('Lista de Preços'!$A126)+COUNTBLANK('Lista de Preços'!$B126)+COUNTBLANK('Lista de Preços'!$C126)+COUNTBLANK('Lista de Preços'!$D126)+COUNTBLANK('Lista de Preços'!$E126)+COUNTBLANK('Lista de Preços'!$F126)+COUNTBLANK('Lista de Preços'!$L126)+COUNTBLANK('Lista de Preços'!$M126)+COUNTBLANK('Lista de Preços'!$P126)+COUNTBLANK('Lista de Preços'!$U126)+COUNTBLANK('Lista de Preços'!$V126))&gt;0,"ERRO","OK"),"")</f>
        <v/>
      </c>
      <c r="D137" s="27" t="str">
        <f aca="false">IF(COUNTA('Lista de Preços'!$A126:$W126)&gt;0,IF(OR(AND('Lista de Preços'!$L126&lt;&gt;"",NOT(ISNUMBER('Lista de Preços'!$L126))),AND('Lista de Preços'!$M126&lt;&gt;"",NOT(ISNUMBER('Lista de Preços'!$M126)))),"ERRO","OK"),"")</f>
        <v/>
      </c>
      <c r="E137" s="27" t="str">
        <f aca="false">IF(COUNTA('Lista de Preços'!$A126:$W126)&gt;0,IF(AND(ISNUMBER('Lista de Preços'!$L126),ISNUMBER('Lista de Preços'!$M126),'Lista de Preços'!$L126&gt;'Lista de Preços'!$M126),"ERRO","OK"),"")</f>
        <v/>
      </c>
      <c r="F137" s="27" t="str">
        <f aca="true">IF(COUNTA('Lista de Preços'!$A126:$W126)&gt;0,IF(AND('Lista de Preços'!$S126&lt;&gt;"",ISNUMBER('Lista de Preços'!$S126),'Lista de Preços'!$S126&lt;TODAY()),"ERRO","OK"),"")</f>
        <v/>
      </c>
      <c r="G137" s="27" t="str">
        <f aca="false">IF(COUNTA('Lista de Preços'!$A126:$W126)&gt;0,IF(AND('Lista de Preços'!$A126&lt;&gt;"",COUNTIF('Lista de Preços'!$A$4:$A$503,'Lista de Preços'!$A126)&gt;1),"ERRO","OK"),"")</f>
        <v/>
      </c>
      <c r="H137" s="27" t="str">
        <f aca="false">IF(COUNTA('Lista de Preços'!$A126:$W126)&gt;0,IF(AND('Lista de Preços'!$N126&lt;&gt;"",ISNUMBER('Lista de Preços'!$N126),OR('Lista de Preços'!$N126&lt;0,'Lista de Preços'!$N126&gt;0.5)),"ERRO","OK"),"")</f>
        <v/>
      </c>
      <c r="I137" s="27" t="str">
        <f aca="false">IF(COUNTA('Lista de Preços'!$A126:$W126)&gt;0,IF(OR($C137="ERRO",$D137="ERRO",$E137="ERRO",$F137="ERRO",$G137="ERRO",$H137="ERRO"),"FALHA","OK"),"")</f>
        <v/>
      </c>
    </row>
    <row r="138" customFormat="false" ht="15" hidden="false" customHeight="false" outlineLevel="0" collapsed="false">
      <c r="A138" s="26" t="n">
        <f aca="false">'Lista de Preços'!$A127</f>
        <v>0</v>
      </c>
      <c r="B138" s="26" t="n">
        <f aca="false">'Lista de Preços'!$B127</f>
        <v>0</v>
      </c>
      <c r="C138" s="27" t="str">
        <f aca="false">IF(COUNTA('Lista de Preços'!$A127:$W127)&gt;0,IF((COUNTBLANK('Lista de Preços'!$A127)+COUNTBLANK('Lista de Preços'!$B127)+COUNTBLANK('Lista de Preços'!$C127)+COUNTBLANK('Lista de Preços'!$D127)+COUNTBLANK('Lista de Preços'!$E127)+COUNTBLANK('Lista de Preços'!$F127)+COUNTBLANK('Lista de Preços'!$L127)+COUNTBLANK('Lista de Preços'!$M127)+COUNTBLANK('Lista de Preços'!$P127)+COUNTBLANK('Lista de Preços'!$U127)+COUNTBLANK('Lista de Preços'!$V127))&gt;0,"ERRO","OK"),"")</f>
        <v/>
      </c>
      <c r="D138" s="27" t="str">
        <f aca="false">IF(COUNTA('Lista de Preços'!$A127:$W127)&gt;0,IF(OR(AND('Lista de Preços'!$L127&lt;&gt;"",NOT(ISNUMBER('Lista de Preços'!$L127))),AND('Lista de Preços'!$M127&lt;&gt;"",NOT(ISNUMBER('Lista de Preços'!$M127)))),"ERRO","OK"),"")</f>
        <v/>
      </c>
      <c r="E138" s="27" t="str">
        <f aca="false">IF(COUNTA('Lista de Preços'!$A127:$W127)&gt;0,IF(AND(ISNUMBER('Lista de Preços'!$L127),ISNUMBER('Lista de Preços'!$M127),'Lista de Preços'!$L127&gt;'Lista de Preços'!$M127),"ERRO","OK"),"")</f>
        <v/>
      </c>
      <c r="F138" s="27" t="str">
        <f aca="true">IF(COUNTA('Lista de Preços'!$A127:$W127)&gt;0,IF(AND('Lista de Preços'!$S127&lt;&gt;"",ISNUMBER('Lista de Preços'!$S127),'Lista de Preços'!$S127&lt;TODAY()),"ERRO","OK"),"")</f>
        <v/>
      </c>
      <c r="G138" s="27" t="str">
        <f aca="false">IF(COUNTA('Lista de Preços'!$A127:$W127)&gt;0,IF(AND('Lista de Preços'!$A127&lt;&gt;"",COUNTIF('Lista de Preços'!$A$4:$A$503,'Lista de Preços'!$A127)&gt;1),"ERRO","OK"),"")</f>
        <v/>
      </c>
      <c r="H138" s="27" t="str">
        <f aca="false">IF(COUNTA('Lista de Preços'!$A127:$W127)&gt;0,IF(AND('Lista de Preços'!$N127&lt;&gt;"",ISNUMBER('Lista de Preços'!$N127),OR('Lista de Preços'!$N127&lt;0,'Lista de Preços'!$N127&gt;0.5)),"ERRO","OK"),"")</f>
        <v/>
      </c>
      <c r="I138" s="27" t="str">
        <f aca="false">IF(COUNTA('Lista de Preços'!$A127:$W127)&gt;0,IF(OR($C138="ERRO",$D138="ERRO",$E138="ERRO",$F138="ERRO",$G138="ERRO",$H138="ERRO"),"FALHA","OK"),"")</f>
        <v/>
      </c>
    </row>
    <row r="139" customFormat="false" ht="15" hidden="false" customHeight="false" outlineLevel="0" collapsed="false">
      <c r="A139" s="26" t="n">
        <f aca="false">'Lista de Preços'!$A128</f>
        <v>0</v>
      </c>
      <c r="B139" s="26" t="n">
        <f aca="false">'Lista de Preços'!$B128</f>
        <v>0</v>
      </c>
      <c r="C139" s="27" t="str">
        <f aca="false">IF(COUNTA('Lista de Preços'!$A128:$W128)&gt;0,IF((COUNTBLANK('Lista de Preços'!$A128)+COUNTBLANK('Lista de Preços'!$B128)+COUNTBLANK('Lista de Preços'!$C128)+COUNTBLANK('Lista de Preços'!$D128)+COUNTBLANK('Lista de Preços'!$E128)+COUNTBLANK('Lista de Preços'!$F128)+COUNTBLANK('Lista de Preços'!$L128)+COUNTBLANK('Lista de Preços'!$M128)+COUNTBLANK('Lista de Preços'!$P128)+COUNTBLANK('Lista de Preços'!$U128)+COUNTBLANK('Lista de Preços'!$V128))&gt;0,"ERRO","OK"),"")</f>
        <v/>
      </c>
      <c r="D139" s="27" t="str">
        <f aca="false">IF(COUNTA('Lista de Preços'!$A128:$W128)&gt;0,IF(OR(AND('Lista de Preços'!$L128&lt;&gt;"",NOT(ISNUMBER('Lista de Preços'!$L128))),AND('Lista de Preços'!$M128&lt;&gt;"",NOT(ISNUMBER('Lista de Preços'!$M128)))),"ERRO","OK"),"")</f>
        <v/>
      </c>
      <c r="E139" s="27" t="str">
        <f aca="false">IF(COUNTA('Lista de Preços'!$A128:$W128)&gt;0,IF(AND(ISNUMBER('Lista de Preços'!$L128),ISNUMBER('Lista de Preços'!$M128),'Lista de Preços'!$L128&gt;'Lista de Preços'!$M128),"ERRO","OK"),"")</f>
        <v/>
      </c>
      <c r="F139" s="27" t="str">
        <f aca="true">IF(COUNTA('Lista de Preços'!$A128:$W128)&gt;0,IF(AND('Lista de Preços'!$S128&lt;&gt;"",ISNUMBER('Lista de Preços'!$S128),'Lista de Preços'!$S128&lt;TODAY()),"ERRO","OK"),"")</f>
        <v/>
      </c>
      <c r="G139" s="27" t="str">
        <f aca="false">IF(COUNTA('Lista de Preços'!$A128:$W128)&gt;0,IF(AND('Lista de Preços'!$A128&lt;&gt;"",COUNTIF('Lista de Preços'!$A$4:$A$503,'Lista de Preços'!$A128)&gt;1),"ERRO","OK"),"")</f>
        <v/>
      </c>
      <c r="H139" s="27" t="str">
        <f aca="false">IF(COUNTA('Lista de Preços'!$A128:$W128)&gt;0,IF(AND('Lista de Preços'!$N128&lt;&gt;"",ISNUMBER('Lista de Preços'!$N128),OR('Lista de Preços'!$N128&lt;0,'Lista de Preços'!$N128&gt;0.5)),"ERRO","OK"),"")</f>
        <v/>
      </c>
      <c r="I139" s="27" t="str">
        <f aca="false">IF(COUNTA('Lista de Preços'!$A128:$W128)&gt;0,IF(OR($C139="ERRO",$D139="ERRO",$E139="ERRO",$F139="ERRO",$G139="ERRO",$H139="ERRO"),"FALHA","OK"),"")</f>
        <v/>
      </c>
    </row>
    <row r="140" customFormat="false" ht="15" hidden="false" customHeight="false" outlineLevel="0" collapsed="false">
      <c r="A140" s="26" t="n">
        <f aca="false">'Lista de Preços'!$A129</f>
        <v>0</v>
      </c>
      <c r="B140" s="26" t="n">
        <f aca="false">'Lista de Preços'!$B129</f>
        <v>0</v>
      </c>
      <c r="C140" s="27" t="str">
        <f aca="false">IF(COUNTA('Lista de Preços'!$A129:$W129)&gt;0,IF((COUNTBLANK('Lista de Preços'!$A129)+COUNTBLANK('Lista de Preços'!$B129)+COUNTBLANK('Lista de Preços'!$C129)+COUNTBLANK('Lista de Preços'!$D129)+COUNTBLANK('Lista de Preços'!$E129)+COUNTBLANK('Lista de Preços'!$F129)+COUNTBLANK('Lista de Preços'!$L129)+COUNTBLANK('Lista de Preços'!$M129)+COUNTBLANK('Lista de Preços'!$P129)+COUNTBLANK('Lista de Preços'!$U129)+COUNTBLANK('Lista de Preços'!$V129))&gt;0,"ERRO","OK"),"")</f>
        <v/>
      </c>
      <c r="D140" s="27" t="str">
        <f aca="false">IF(COUNTA('Lista de Preços'!$A129:$W129)&gt;0,IF(OR(AND('Lista de Preços'!$L129&lt;&gt;"",NOT(ISNUMBER('Lista de Preços'!$L129))),AND('Lista de Preços'!$M129&lt;&gt;"",NOT(ISNUMBER('Lista de Preços'!$M129)))),"ERRO","OK"),"")</f>
        <v/>
      </c>
      <c r="E140" s="27" t="str">
        <f aca="false">IF(COUNTA('Lista de Preços'!$A129:$W129)&gt;0,IF(AND(ISNUMBER('Lista de Preços'!$L129),ISNUMBER('Lista de Preços'!$M129),'Lista de Preços'!$L129&gt;'Lista de Preços'!$M129),"ERRO","OK"),"")</f>
        <v/>
      </c>
      <c r="F140" s="27" t="str">
        <f aca="true">IF(COUNTA('Lista de Preços'!$A129:$W129)&gt;0,IF(AND('Lista de Preços'!$S129&lt;&gt;"",ISNUMBER('Lista de Preços'!$S129),'Lista de Preços'!$S129&lt;TODAY()),"ERRO","OK"),"")</f>
        <v/>
      </c>
      <c r="G140" s="27" t="str">
        <f aca="false">IF(COUNTA('Lista de Preços'!$A129:$W129)&gt;0,IF(AND('Lista de Preços'!$A129&lt;&gt;"",COUNTIF('Lista de Preços'!$A$4:$A$503,'Lista de Preços'!$A129)&gt;1),"ERRO","OK"),"")</f>
        <v/>
      </c>
      <c r="H140" s="27" t="str">
        <f aca="false">IF(COUNTA('Lista de Preços'!$A129:$W129)&gt;0,IF(AND('Lista de Preços'!$N129&lt;&gt;"",ISNUMBER('Lista de Preços'!$N129),OR('Lista de Preços'!$N129&lt;0,'Lista de Preços'!$N129&gt;0.5)),"ERRO","OK"),"")</f>
        <v/>
      </c>
      <c r="I140" s="27" t="str">
        <f aca="false">IF(COUNTA('Lista de Preços'!$A129:$W129)&gt;0,IF(OR($C140="ERRO",$D140="ERRO",$E140="ERRO",$F140="ERRO",$G140="ERRO",$H140="ERRO"),"FALHA","OK"),"")</f>
        <v/>
      </c>
    </row>
    <row r="141" customFormat="false" ht="15" hidden="false" customHeight="false" outlineLevel="0" collapsed="false">
      <c r="A141" s="26" t="n">
        <f aca="false">'Lista de Preços'!$A130</f>
        <v>0</v>
      </c>
      <c r="B141" s="26" t="n">
        <f aca="false">'Lista de Preços'!$B130</f>
        <v>0</v>
      </c>
      <c r="C141" s="27" t="str">
        <f aca="false">IF(COUNTA('Lista de Preços'!$A130:$W130)&gt;0,IF((COUNTBLANK('Lista de Preços'!$A130)+COUNTBLANK('Lista de Preços'!$B130)+COUNTBLANK('Lista de Preços'!$C130)+COUNTBLANK('Lista de Preços'!$D130)+COUNTBLANK('Lista de Preços'!$E130)+COUNTBLANK('Lista de Preços'!$F130)+COUNTBLANK('Lista de Preços'!$L130)+COUNTBLANK('Lista de Preços'!$M130)+COUNTBLANK('Lista de Preços'!$P130)+COUNTBLANK('Lista de Preços'!$U130)+COUNTBLANK('Lista de Preços'!$V130))&gt;0,"ERRO","OK"),"")</f>
        <v/>
      </c>
      <c r="D141" s="27" t="str">
        <f aca="false">IF(COUNTA('Lista de Preços'!$A130:$W130)&gt;0,IF(OR(AND('Lista de Preços'!$L130&lt;&gt;"",NOT(ISNUMBER('Lista de Preços'!$L130))),AND('Lista de Preços'!$M130&lt;&gt;"",NOT(ISNUMBER('Lista de Preços'!$M130)))),"ERRO","OK"),"")</f>
        <v/>
      </c>
      <c r="E141" s="27" t="str">
        <f aca="false">IF(COUNTA('Lista de Preços'!$A130:$W130)&gt;0,IF(AND(ISNUMBER('Lista de Preços'!$L130),ISNUMBER('Lista de Preços'!$M130),'Lista de Preços'!$L130&gt;'Lista de Preços'!$M130),"ERRO","OK"),"")</f>
        <v/>
      </c>
      <c r="F141" s="27" t="str">
        <f aca="true">IF(COUNTA('Lista de Preços'!$A130:$W130)&gt;0,IF(AND('Lista de Preços'!$S130&lt;&gt;"",ISNUMBER('Lista de Preços'!$S130),'Lista de Preços'!$S130&lt;TODAY()),"ERRO","OK"),"")</f>
        <v/>
      </c>
      <c r="G141" s="27" t="str">
        <f aca="false">IF(COUNTA('Lista de Preços'!$A130:$W130)&gt;0,IF(AND('Lista de Preços'!$A130&lt;&gt;"",COUNTIF('Lista de Preços'!$A$4:$A$503,'Lista de Preços'!$A130)&gt;1),"ERRO","OK"),"")</f>
        <v/>
      </c>
      <c r="H141" s="27" t="str">
        <f aca="false">IF(COUNTA('Lista de Preços'!$A130:$W130)&gt;0,IF(AND('Lista de Preços'!$N130&lt;&gt;"",ISNUMBER('Lista de Preços'!$N130),OR('Lista de Preços'!$N130&lt;0,'Lista de Preços'!$N130&gt;0.5)),"ERRO","OK"),"")</f>
        <v/>
      </c>
      <c r="I141" s="27" t="str">
        <f aca="false">IF(COUNTA('Lista de Preços'!$A130:$W130)&gt;0,IF(OR($C141="ERRO",$D141="ERRO",$E141="ERRO",$F141="ERRO",$G141="ERRO",$H141="ERRO"),"FALHA","OK"),"")</f>
        <v/>
      </c>
    </row>
    <row r="142" customFormat="false" ht="15" hidden="false" customHeight="false" outlineLevel="0" collapsed="false">
      <c r="A142" s="26" t="n">
        <f aca="false">'Lista de Preços'!$A131</f>
        <v>0</v>
      </c>
      <c r="B142" s="26" t="n">
        <f aca="false">'Lista de Preços'!$B131</f>
        <v>0</v>
      </c>
      <c r="C142" s="27" t="str">
        <f aca="false">IF(COUNTA('Lista de Preços'!$A131:$W131)&gt;0,IF((COUNTBLANK('Lista de Preços'!$A131)+COUNTBLANK('Lista de Preços'!$B131)+COUNTBLANK('Lista de Preços'!$C131)+COUNTBLANK('Lista de Preços'!$D131)+COUNTBLANK('Lista de Preços'!$E131)+COUNTBLANK('Lista de Preços'!$F131)+COUNTBLANK('Lista de Preços'!$L131)+COUNTBLANK('Lista de Preços'!$M131)+COUNTBLANK('Lista de Preços'!$P131)+COUNTBLANK('Lista de Preços'!$U131)+COUNTBLANK('Lista de Preços'!$V131))&gt;0,"ERRO","OK"),"")</f>
        <v/>
      </c>
      <c r="D142" s="27" t="str">
        <f aca="false">IF(COUNTA('Lista de Preços'!$A131:$W131)&gt;0,IF(OR(AND('Lista de Preços'!$L131&lt;&gt;"",NOT(ISNUMBER('Lista de Preços'!$L131))),AND('Lista de Preços'!$M131&lt;&gt;"",NOT(ISNUMBER('Lista de Preços'!$M131)))),"ERRO","OK"),"")</f>
        <v/>
      </c>
      <c r="E142" s="27" t="str">
        <f aca="false">IF(COUNTA('Lista de Preços'!$A131:$W131)&gt;0,IF(AND(ISNUMBER('Lista de Preços'!$L131),ISNUMBER('Lista de Preços'!$M131),'Lista de Preços'!$L131&gt;'Lista de Preços'!$M131),"ERRO","OK"),"")</f>
        <v/>
      </c>
      <c r="F142" s="27" t="str">
        <f aca="true">IF(COUNTA('Lista de Preços'!$A131:$W131)&gt;0,IF(AND('Lista de Preços'!$S131&lt;&gt;"",ISNUMBER('Lista de Preços'!$S131),'Lista de Preços'!$S131&lt;TODAY()),"ERRO","OK"),"")</f>
        <v/>
      </c>
      <c r="G142" s="27" t="str">
        <f aca="false">IF(COUNTA('Lista de Preços'!$A131:$W131)&gt;0,IF(AND('Lista de Preços'!$A131&lt;&gt;"",COUNTIF('Lista de Preços'!$A$4:$A$503,'Lista de Preços'!$A131)&gt;1),"ERRO","OK"),"")</f>
        <v/>
      </c>
      <c r="H142" s="27" t="str">
        <f aca="false">IF(COUNTA('Lista de Preços'!$A131:$W131)&gt;0,IF(AND('Lista de Preços'!$N131&lt;&gt;"",ISNUMBER('Lista de Preços'!$N131),OR('Lista de Preços'!$N131&lt;0,'Lista de Preços'!$N131&gt;0.5)),"ERRO","OK"),"")</f>
        <v/>
      </c>
      <c r="I142" s="27" t="str">
        <f aca="false">IF(COUNTA('Lista de Preços'!$A131:$W131)&gt;0,IF(OR($C142="ERRO",$D142="ERRO",$E142="ERRO",$F142="ERRO",$G142="ERRO",$H142="ERRO"),"FALHA","OK"),"")</f>
        <v/>
      </c>
    </row>
    <row r="143" customFormat="false" ht="15" hidden="false" customHeight="false" outlineLevel="0" collapsed="false">
      <c r="A143" s="26" t="n">
        <f aca="false">'Lista de Preços'!$A132</f>
        <v>0</v>
      </c>
      <c r="B143" s="26" t="n">
        <f aca="false">'Lista de Preços'!$B132</f>
        <v>0</v>
      </c>
      <c r="C143" s="27" t="str">
        <f aca="false">IF(COUNTA('Lista de Preços'!$A132:$W132)&gt;0,IF((COUNTBLANK('Lista de Preços'!$A132)+COUNTBLANK('Lista de Preços'!$B132)+COUNTBLANK('Lista de Preços'!$C132)+COUNTBLANK('Lista de Preços'!$D132)+COUNTBLANK('Lista de Preços'!$E132)+COUNTBLANK('Lista de Preços'!$F132)+COUNTBLANK('Lista de Preços'!$L132)+COUNTBLANK('Lista de Preços'!$M132)+COUNTBLANK('Lista de Preços'!$P132)+COUNTBLANK('Lista de Preços'!$U132)+COUNTBLANK('Lista de Preços'!$V132))&gt;0,"ERRO","OK"),"")</f>
        <v/>
      </c>
      <c r="D143" s="27" t="str">
        <f aca="false">IF(COUNTA('Lista de Preços'!$A132:$W132)&gt;0,IF(OR(AND('Lista de Preços'!$L132&lt;&gt;"",NOT(ISNUMBER('Lista de Preços'!$L132))),AND('Lista de Preços'!$M132&lt;&gt;"",NOT(ISNUMBER('Lista de Preços'!$M132)))),"ERRO","OK"),"")</f>
        <v/>
      </c>
      <c r="E143" s="27" t="str">
        <f aca="false">IF(COUNTA('Lista de Preços'!$A132:$W132)&gt;0,IF(AND(ISNUMBER('Lista de Preços'!$L132),ISNUMBER('Lista de Preços'!$M132),'Lista de Preços'!$L132&gt;'Lista de Preços'!$M132),"ERRO","OK"),"")</f>
        <v/>
      </c>
      <c r="F143" s="27" t="str">
        <f aca="true">IF(COUNTA('Lista de Preços'!$A132:$W132)&gt;0,IF(AND('Lista de Preços'!$S132&lt;&gt;"",ISNUMBER('Lista de Preços'!$S132),'Lista de Preços'!$S132&lt;TODAY()),"ERRO","OK"),"")</f>
        <v/>
      </c>
      <c r="G143" s="27" t="str">
        <f aca="false">IF(COUNTA('Lista de Preços'!$A132:$W132)&gt;0,IF(AND('Lista de Preços'!$A132&lt;&gt;"",COUNTIF('Lista de Preços'!$A$4:$A$503,'Lista de Preços'!$A132)&gt;1),"ERRO","OK"),"")</f>
        <v/>
      </c>
      <c r="H143" s="27" t="str">
        <f aca="false">IF(COUNTA('Lista de Preços'!$A132:$W132)&gt;0,IF(AND('Lista de Preços'!$N132&lt;&gt;"",ISNUMBER('Lista de Preços'!$N132),OR('Lista de Preços'!$N132&lt;0,'Lista de Preços'!$N132&gt;0.5)),"ERRO","OK"),"")</f>
        <v/>
      </c>
      <c r="I143" s="27" t="str">
        <f aca="false">IF(COUNTA('Lista de Preços'!$A132:$W132)&gt;0,IF(OR($C143="ERRO",$D143="ERRO",$E143="ERRO",$F143="ERRO",$G143="ERRO",$H143="ERRO"),"FALHA","OK"),"")</f>
        <v/>
      </c>
    </row>
    <row r="144" customFormat="false" ht="15" hidden="false" customHeight="false" outlineLevel="0" collapsed="false">
      <c r="A144" s="26" t="n">
        <f aca="false">'Lista de Preços'!$A133</f>
        <v>0</v>
      </c>
      <c r="B144" s="26" t="n">
        <f aca="false">'Lista de Preços'!$B133</f>
        <v>0</v>
      </c>
      <c r="C144" s="27" t="str">
        <f aca="false">IF(COUNTA('Lista de Preços'!$A133:$W133)&gt;0,IF((COUNTBLANK('Lista de Preços'!$A133)+COUNTBLANK('Lista de Preços'!$B133)+COUNTBLANK('Lista de Preços'!$C133)+COUNTBLANK('Lista de Preços'!$D133)+COUNTBLANK('Lista de Preços'!$E133)+COUNTBLANK('Lista de Preços'!$F133)+COUNTBLANK('Lista de Preços'!$L133)+COUNTBLANK('Lista de Preços'!$M133)+COUNTBLANK('Lista de Preços'!$P133)+COUNTBLANK('Lista de Preços'!$U133)+COUNTBLANK('Lista de Preços'!$V133))&gt;0,"ERRO","OK"),"")</f>
        <v/>
      </c>
      <c r="D144" s="27" t="str">
        <f aca="false">IF(COUNTA('Lista de Preços'!$A133:$W133)&gt;0,IF(OR(AND('Lista de Preços'!$L133&lt;&gt;"",NOT(ISNUMBER('Lista de Preços'!$L133))),AND('Lista de Preços'!$M133&lt;&gt;"",NOT(ISNUMBER('Lista de Preços'!$M133)))),"ERRO","OK"),"")</f>
        <v/>
      </c>
      <c r="E144" s="27" t="str">
        <f aca="false">IF(COUNTA('Lista de Preços'!$A133:$W133)&gt;0,IF(AND(ISNUMBER('Lista de Preços'!$L133),ISNUMBER('Lista de Preços'!$M133),'Lista de Preços'!$L133&gt;'Lista de Preços'!$M133),"ERRO","OK"),"")</f>
        <v/>
      </c>
      <c r="F144" s="27" t="str">
        <f aca="true">IF(COUNTA('Lista de Preços'!$A133:$W133)&gt;0,IF(AND('Lista de Preços'!$S133&lt;&gt;"",ISNUMBER('Lista de Preços'!$S133),'Lista de Preços'!$S133&lt;TODAY()),"ERRO","OK"),"")</f>
        <v/>
      </c>
      <c r="G144" s="27" t="str">
        <f aca="false">IF(COUNTA('Lista de Preços'!$A133:$W133)&gt;0,IF(AND('Lista de Preços'!$A133&lt;&gt;"",COUNTIF('Lista de Preços'!$A$4:$A$503,'Lista de Preços'!$A133)&gt;1),"ERRO","OK"),"")</f>
        <v/>
      </c>
      <c r="H144" s="27" t="str">
        <f aca="false">IF(COUNTA('Lista de Preços'!$A133:$W133)&gt;0,IF(AND('Lista de Preços'!$N133&lt;&gt;"",ISNUMBER('Lista de Preços'!$N133),OR('Lista de Preços'!$N133&lt;0,'Lista de Preços'!$N133&gt;0.5)),"ERRO","OK"),"")</f>
        <v/>
      </c>
      <c r="I144" s="27" t="str">
        <f aca="false">IF(COUNTA('Lista de Preços'!$A133:$W133)&gt;0,IF(OR($C144="ERRO",$D144="ERRO",$E144="ERRO",$F144="ERRO",$G144="ERRO",$H144="ERRO"),"FALHA","OK"),"")</f>
        <v/>
      </c>
    </row>
    <row r="145" customFormat="false" ht="15" hidden="false" customHeight="false" outlineLevel="0" collapsed="false">
      <c r="A145" s="26" t="n">
        <f aca="false">'Lista de Preços'!$A134</f>
        <v>0</v>
      </c>
      <c r="B145" s="26" t="n">
        <f aca="false">'Lista de Preços'!$B134</f>
        <v>0</v>
      </c>
      <c r="C145" s="27" t="str">
        <f aca="false">IF(COUNTA('Lista de Preços'!$A134:$W134)&gt;0,IF((COUNTBLANK('Lista de Preços'!$A134)+COUNTBLANK('Lista de Preços'!$B134)+COUNTBLANK('Lista de Preços'!$C134)+COUNTBLANK('Lista de Preços'!$D134)+COUNTBLANK('Lista de Preços'!$E134)+COUNTBLANK('Lista de Preços'!$F134)+COUNTBLANK('Lista de Preços'!$L134)+COUNTBLANK('Lista de Preços'!$M134)+COUNTBLANK('Lista de Preços'!$P134)+COUNTBLANK('Lista de Preços'!$U134)+COUNTBLANK('Lista de Preços'!$V134))&gt;0,"ERRO","OK"),"")</f>
        <v/>
      </c>
      <c r="D145" s="27" t="str">
        <f aca="false">IF(COUNTA('Lista de Preços'!$A134:$W134)&gt;0,IF(OR(AND('Lista de Preços'!$L134&lt;&gt;"",NOT(ISNUMBER('Lista de Preços'!$L134))),AND('Lista de Preços'!$M134&lt;&gt;"",NOT(ISNUMBER('Lista de Preços'!$M134)))),"ERRO","OK"),"")</f>
        <v/>
      </c>
      <c r="E145" s="27" t="str">
        <f aca="false">IF(COUNTA('Lista de Preços'!$A134:$W134)&gt;0,IF(AND(ISNUMBER('Lista de Preços'!$L134),ISNUMBER('Lista de Preços'!$M134),'Lista de Preços'!$L134&gt;'Lista de Preços'!$M134),"ERRO","OK"),"")</f>
        <v/>
      </c>
      <c r="F145" s="27" t="str">
        <f aca="true">IF(COUNTA('Lista de Preços'!$A134:$W134)&gt;0,IF(AND('Lista de Preços'!$S134&lt;&gt;"",ISNUMBER('Lista de Preços'!$S134),'Lista de Preços'!$S134&lt;TODAY()),"ERRO","OK"),"")</f>
        <v/>
      </c>
      <c r="G145" s="27" t="str">
        <f aca="false">IF(COUNTA('Lista de Preços'!$A134:$W134)&gt;0,IF(AND('Lista de Preços'!$A134&lt;&gt;"",COUNTIF('Lista de Preços'!$A$4:$A$503,'Lista de Preços'!$A134)&gt;1),"ERRO","OK"),"")</f>
        <v/>
      </c>
      <c r="H145" s="27" t="str">
        <f aca="false">IF(COUNTA('Lista de Preços'!$A134:$W134)&gt;0,IF(AND('Lista de Preços'!$N134&lt;&gt;"",ISNUMBER('Lista de Preços'!$N134),OR('Lista de Preços'!$N134&lt;0,'Lista de Preços'!$N134&gt;0.5)),"ERRO","OK"),"")</f>
        <v/>
      </c>
      <c r="I145" s="27" t="str">
        <f aca="false">IF(COUNTA('Lista de Preços'!$A134:$W134)&gt;0,IF(OR($C145="ERRO",$D145="ERRO",$E145="ERRO",$F145="ERRO",$G145="ERRO",$H145="ERRO"),"FALHA","OK"),"")</f>
        <v/>
      </c>
    </row>
    <row r="146" customFormat="false" ht="15" hidden="false" customHeight="false" outlineLevel="0" collapsed="false">
      <c r="A146" s="26" t="n">
        <f aca="false">'Lista de Preços'!$A135</f>
        <v>0</v>
      </c>
      <c r="B146" s="26" t="n">
        <f aca="false">'Lista de Preços'!$B135</f>
        <v>0</v>
      </c>
      <c r="C146" s="27" t="str">
        <f aca="false">IF(COUNTA('Lista de Preços'!$A135:$W135)&gt;0,IF((COUNTBLANK('Lista de Preços'!$A135)+COUNTBLANK('Lista de Preços'!$B135)+COUNTBLANK('Lista de Preços'!$C135)+COUNTBLANK('Lista de Preços'!$D135)+COUNTBLANK('Lista de Preços'!$E135)+COUNTBLANK('Lista de Preços'!$F135)+COUNTBLANK('Lista de Preços'!$L135)+COUNTBLANK('Lista de Preços'!$M135)+COUNTBLANK('Lista de Preços'!$P135)+COUNTBLANK('Lista de Preços'!$U135)+COUNTBLANK('Lista de Preços'!$V135))&gt;0,"ERRO","OK"),"")</f>
        <v/>
      </c>
      <c r="D146" s="27" t="str">
        <f aca="false">IF(COUNTA('Lista de Preços'!$A135:$W135)&gt;0,IF(OR(AND('Lista de Preços'!$L135&lt;&gt;"",NOT(ISNUMBER('Lista de Preços'!$L135))),AND('Lista de Preços'!$M135&lt;&gt;"",NOT(ISNUMBER('Lista de Preços'!$M135)))),"ERRO","OK"),"")</f>
        <v/>
      </c>
      <c r="E146" s="27" t="str">
        <f aca="false">IF(COUNTA('Lista de Preços'!$A135:$W135)&gt;0,IF(AND(ISNUMBER('Lista de Preços'!$L135),ISNUMBER('Lista de Preços'!$M135),'Lista de Preços'!$L135&gt;'Lista de Preços'!$M135),"ERRO","OK"),"")</f>
        <v/>
      </c>
      <c r="F146" s="27" t="str">
        <f aca="true">IF(COUNTA('Lista de Preços'!$A135:$W135)&gt;0,IF(AND('Lista de Preços'!$S135&lt;&gt;"",ISNUMBER('Lista de Preços'!$S135),'Lista de Preços'!$S135&lt;TODAY()),"ERRO","OK"),"")</f>
        <v/>
      </c>
      <c r="G146" s="27" t="str">
        <f aca="false">IF(COUNTA('Lista de Preços'!$A135:$W135)&gt;0,IF(AND('Lista de Preços'!$A135&lt;&gt;"",COUNTIF('Lista de Preços'!$A$4:$A$503,'Lista de Preços'!$A135)&gt;1),"ERRO","OK"),"")</f>
        <v/>
      </c>
      <c r="H146" s="27" t="str">
        <f aca="false">IF(COUNTA('Lista de Preços'!$A135:$W135)&gt;0,IF(AND('Lista de Preços'!$N135&lt;&gt;"",ISNUMBER('Lista de Preços'!$N135),OR('Lista de Preços'!$N135&lt;0,'Lista de Preços'!$N135&gt;0.5)),"ERRO","OK"),"")</f>
        <v/>
      </c>
      <c r="I146" s="27" t="str">
        <f aca="false">IF(COUNTA('Lista de Preços'!$A135:$W135)&gt;0,IF(OR($C146="ERRO",$D146="ERRO",$E146="ERRO",$F146="ERRO",$G146="ERRO",$H146="ERRO"),"FALHA","OK"),"")</f>
        <v/>
      </c>
    </row>
    <row r="147" customFormat="false" ht="15" hidden="false" customHeight="false" outlineLevel="0" collapsed="false">
      <c r="A147" s="26" t="n">
        <f aca="false">'Lista de Preços'!$A136</f>
        <v>0</v>
      </c>
      <c r="B147" s="26" t="n">
        <f aca="false">'Lista de Preços'!$B136</f>
        <v>0</v>
      </c>
      <c r="C147" s="27" t="str">
        <f aca="false">IF(COUNTA('Lista de Preços'!$A136:$W136)&gt;0,IF((COUNTBLANK('Lista de Preços'!$A136)+COUNTBLANK('Lista de Preços'!$B136)+COUNTBLANK('Lista de Preços'!$C136)+COUNTBLANK('Lista de Preços'!$D136)+COUNTBLANK('Lista de Preços'!$E136)+COUNTBLANK('Lista de Preços'!$F136)+COUNTBLANK('Lista de Preços'!$L136)+COUNTBLANK('Lista de Preços'!$M136)+COUNTBLANK('Lista de Preços'!$P136)+COUNTBLANK('Lista de Preços'!$U136)+COUNTBLANK('Lista de Preços'!$V136))&gt;0,"ERRO","OK"),"")</f>
        <v/>
      </c>
      <c r="D147" s="27" t="str">
        <f aca="false">IF(COUNTA('Lista de Preços'!$A136:$W136)&gt;0,IF(OR(AND('Lista de Preços'!$L136&lt;&gt;"",NOT(ISNUMBER('Lista de Preços'!$L136))),AND('Lista de Preços'!$M136&lt;&gt;"",NOT(ISNUMBER('Lista de Preços'!$M136)))),"ERRO","OK"),"")</f>
        <v/>
      </c>
      <c r="E147" s="27" t="str">
        <f aca="false">IF(COUNTA('Lista de Preços'!$A136:$W136)&gt;0,IF(AND(ISNUMBER('Lista de Preços'!$L136),ISNUMBER('Lista de Preços'!$M136),'Lista de Preços'!$L136&gt;'Lista de Preços'!$M136),"ERRO","OK"),"")</f>
        <v/>
      </c>
      <c r="F147" s="27" t="str">
        <f aca="true">IF(COUNTA('Lista de Preços'!$A136:$W136)&gt;0,IF(AND('Lista de Preços'!$S136&lt;&gt;"",ISNUMBER('Lista de Preços'!$S136),'Lista de Preços'!$S136&lt;TODAY()),"ERRO","OK"),"")</f>
        <v/>
      </c>
      <c r="G147" s="27" t="str">
        <f aca="false">IF(COUNTA('Lista de Preços'!$A136:$W136)&gt;0,IF(AND('Lista de Preços'!$A136&lt;&gt;"",COUNTIF('Lista de Preços'!$A$4:$A$503,'Lista de Preços'!$A136)&gt;1),"ERRO","OK"),"")</f>
        <v/>
      </c>
      <c r="H147" s="27" t="str">
        <f aca="false">IF(COUNTA('Lista de Preços'!$A136:$W136)&gt;0,IF(AND('Lista de Preços'!$N136&lt;&gt;"",ISNUMBER('Lista de Preços'!$N136),OR('Lista de Preços'!$N136&lt;0,'Lista de Preços'!$N136&gt;0.5)),"ERRO","OK"),"")</f>
        <v/>
      </c>
      <c r="I147" s="27" t="str">
        <f aca="false">IF(COUNTA('Lista de Preços'!$A136:$W136)&gt;0,IF(OR($C147="ERRO",$D147="ERRO",$E147="ERRO",$F147="ERRO",$G147="ERRO",$H147="ERRO"),"FALHA","OK"),"")</f>
        <v/>
      </c>
    </row>
    <row r="148" customFormat="false" ht="15" hidden="false" customHeight="false" outlineLevel="0" collapsed="false">
      <c r="A148" s="26" t="n">
        <f aca="false">'Lista de Preços'!$A137</f>
        <v>0</v>
      </c>
      <c r="B148" s="26" t="n">
        <f aca="false">'Lista de Preços'!$B137</f>
        <v>0</v>
      </c>
      <c r="C148" s="27" t="str">
        <f aca="false">IF(COUNTA('Lista de Preços'!$A137:$W137)&gt;0,IF((COUNTBLANK('Lista de Preços'!$A137)+COUNTBLANK('Lista de Preços'!$B137)+COUNTBLANK('Lista de Preços'!$C137)+COUNTBLANK('Lista de Preços'!$D137)+COUNTBLANK('Lista de Preços'!$E137)+COUNTBLANK('Lista de Preços'!$F137)+COUNTBLANK('Lista de Preços'!$L137)+COUNTBLANK('Lista de Preços'!$M137)+COUNTBLANK('Lista de Preços'!$P137)+COUNTBLANK('Lista de Preços'!$U137)+COUNTBLANK('Lista de Preços'!$V137))&gt;0,"ERRO","OK"),"")</f>
        <v/>
      </c>
      <c r="D148" s="27" t="str">
        <f aca="false">IF(COUNTA('Lista de Preços'!$A137:$W137)&gt;0,IF(OR(AND('Lista de Preços'!$L137&lt;&gt;"",NOT(ISNUMBER('Lista de Preços'!$L137))),AND('Lista de Preços'!$M137&lt;&gt;"",NOT(ISNUMBER('Lista de Preços'!$M137)))),"ERRO","OK"),"")</f>
        <v/>
      </c>
      <c r="E148" s="27" t="str">
        <f aca="false">IF(COUNTA('Lista de Preços'!$A137:$W137)&gt;0,IF(AND(ISNUMBER('Lista de Preços'!$L137),ISNUMBER('Lista de Preços'!$M137),'Lista de Preços'!$L137&gt;'Lista de Preços'!$M137),"ERRO","OK"),"")</f>
        <v/>
      </c>
      <c r="F148" s="27" t="str">
        <f aca="true">IF(COUNTA('Lista de Preços'!$A137:$W137)&gt;0,IF(AND('Lista de Preços'!$S137&lt;&gt;"",ISNUMBER('Lista de Preços'!$S137),'Lista de Preços'!$S137&lt;TODAY()),"ERRO","OK"),"")</f>
        <v/>
      </c>
      <c r="G148" s="27" t="str">
        <f aca="false">IF(COUNTA('Lista de Preços'!$A137:$W137)&gt;0,IF(AND('Lista de Preços'!$A137&lt;&gt;"",COUNTIF('Lista de Preços'!$A$4:$A$503,'Lista de Preços'!$A137)&gt;1),"ERRO","OK"),"")</f>
        <v/>
      </c>
      <c r="H148" s="27" t="str">
        <f aca="false">IF(COUNTA('Lista de Preços'!$A137:$W137)&gt;0,IF(AND('Lista de Preços'!$N137&lt;&gt;"",ISNUMBER('Lista de Preços'!$N137),OR('Lista de Preços'!$N137&lt;0,'Lista de Preços'!$N137&gt;0.5)),"ERRO","OK"),"")</f>
        <v/>
      </c>
      <c r="I148" s="27" t="str">
        <f aca="false">IF(COUNTA('Lista de Preços'!$A137:$W137)&gt;0,IF(OR($C148="ERRO",$D148="ERRO",$E148="ERRO",$F148="ERRO",$G148="ERRO",$H148="ERRO"),"FALHA","OK"),"")</f>
        <v/>
      </c>
    </row>
    <row r="149" customFormat="false" ht="15" hidden="false" customHeight="false" outlineLevel="0" collapsed="false">
      <c r="A149" s="26" t="n">
        <f aca="false">'Lista de Preços'!$A138</f>
        <v>0</v>
      </c>
      <c r="B149" s="26" t="n">
        <f aca="false">'Lista de Preços'!$B138</f>
        <v>0</v>
      </c>
      <c r="C149" s="27" t="str">
        <f aca="false">IF(COUNTA('Lista de Preços'!$A138:$W138)&gt;0,IF((COUNTBLANK('Lista de Preços'!$A138)+COUNTBLANK('Lista de Preços'!$B138)+COUNTBLANK('Lista de Preços'!$C138)+COUNTBLANK('Lista de Preços'!$D138)+COUNTBLANK('Lista de Preços'!$E138)+COUNTBLANK('Lista de Preços'!$F138)+COUNTBLANK('Lista de Preços'!$L138)+COUNTBLANK('Lista de Preços'!$M138)+COUNTBLANK('Lista de Preços'!$P138)+COUNTBLANK('Lista de Preços'!$U138)+COUNTBLANK('Lista de Preços'!$V138))&gt;0,"ERRO","OK"),"")</f>
        <v/>
      </c>
      <c r="D149" s="27" t="str">
        <f aca="false">IF(COUNTA('Lista de Preços'!$A138:$W138)&gt;0,IF(OR(AND('Lista de Preços'!$L138&lt;&gt;"",NOT(ISNUMBER('Lista de Preços'!$L138))),AND('Lista de Preços'!$M138&lt;&gt;"",NOT(ISNUMBER('Lista de Preços'!$M138)))),"ERRO","OK"),"")</f>
        <v/>
      </c>
      <c r="E149" s="27" t="str">
        <f aca="false">IF(COUNTA('Lista de Preços'!$A138:$W138)&gt;0,IF(AND(ISNUMBER('Lista de Preços'!$L138),ISNUMBER('Lista de Preços'!$M138),'Lista de Preços'!$L138&gt;'Lista de Preços'!$M138),"ERRO","OK"),"")</f>
        <v/>
      </c>
      <c r="F149" s="27" t="str">
        <f aca="true">IF(COUNTA('Lista de Preços'!$A138:$W138)&gt;0,IF(AND('Lista de Preços'!$S138&lt;&gt;"",ISNUMBER('Lista de Preços'!$S138),'Lista de Preços'!$S138&lt;TODAY()),"ERRO","OK"),"")</f>
        <v/>
      </c>
      <c r="G149" s="27" t="str">
        <f aca="false">IF(COUNTA('Lista de Preços'!$A138:$W138)&gt;0,IF(AND('Lista de Preços'!$A138&lt;&gt;"",COUNTIF('Lista de Preços'!$A$4:$A$503,'Lista de Preços'!$A138)&gt;1),"ERRO","OK"),"")</f>
        <v/>
      </c>
      <c r="H149" s="27" t="str">
        <f aca="false">IF(COUNTA('Lista de Preços'!$A138:$W138)&gt;0,IF(AND('Lista de Preços'!$N138&lt;&gt;"",ISNUMBER('Lista de Preços'!$N138),OR('Lista de Preços'!$N138&lt;0,'Lista de Preços'!$N138&gt;0.5)),"ERRO","OK"),"")</f>
        <v/>
      </c>
      <c r="I149" s="27" t="str">
        <f aca="false">IF(COUNTA('Lista de Preços'!$A138:$W138)&gt;0,IF(OR($C149="ERRO",$D149="ERRO",$E149="ERRO",$F149="ERRO",$G149="ERRO",$H149="ERRO"),"FALHA","OK"),"")</f>
        <v/>
      </c>
    </row>
    <row r="150" customFormat="false" ht="15" hidden="false" customHeight="false" outlineLevel="0" collapsed="false">
      <c r="A150" s="26" t="n">
        <f aca="false">'Lista de Preços'!$A139</f>
        <v>0</v>
      </c>
      <c r="B150" s="26" t="n">
        <f aca="false">'Lista de Preços'!$B139</f>
        <v>0</v>
      </c>
      <c r="C150" s="27" t="str">
        <f aca="false">IF(COUNTA('Lista de Preços'!$A139:$W139)&gt;0,IF((COUNTBLANK('Lista de Preços'!$A139)+COUNTBLANK('Lista de Preços'!$B139)+COUNTBLANK('Lista de Preços'!$C139)+COUNTBLANK('Lista de Preços'!$D139)+COUNTBLANK('Lista de Preços'!$E139)+COUNTBLANK('Lista de Preços'!$F139)+COUNTBLANK('Lista de Preços'!$L139)+COUNTBLANK('Lista de Preços'!$M139)+COUNTBLANK('Lista de Preços'!$P139)+COUNTBLANK('Lista de Preços'!$U139)+COUNTBLANK('Lista de Preços'!$V139))&gt;0,"ERRO","OK"),"")</f>
        <v/>
      </c>
      <c r="D150" s="27" t="str">
        <f aca="false">IF(COUNTA('Lista de Preços'!$A139:$W139)&gt;0,IF(OR(AND('Lista de Preços'!$L139&lt;&gt;"",NOT(ISNUMBER('Lista de Preços'!$L139))),AND('Lista de Preços'!$M139&lt;&gt;"",NOT(ISNUMBER('Lista de Preços'!$M139)))),"ERRO","OK"),"")</f>
        <v/>
      </c>
      <c r="E150" s="27" t="str">
        <f aca="false">IF(COUNTA('Lista de Preços'!$A139:$W139)&gt;0,IF(AND(ISNUMBER('Lista de Preços'!$L139),ISNUMBER('Lista de Preços'!$M139),'Lista de Preços'!$L139&gt;'Lista de Preços'!$M139),"ERRO","OK"),"")</f>
        <v/>
      </c>
      <c r="F150" s="27" t="str">
        <f aca="true">IF(COUNTA('Lista de Preços'!$A139:$W139)&gt;0,IF(AND('Lista de Preços'!$S139&lt;&gt;"",ISNUMBER('Lista de Preços'!$S139),'Lista de Preços'!$S139&lt;TODAY()),"ERRO","OK"),"")</f>
        <v/>
      </c>
      <c r="G150" s="27" t="str">
        <f aca="false">IF(COUNTA('Lista de Preços'!$A139:$W139)&gt;0,IF(AND('Lista de Preços'!$A139&lt;&gt;"",COUNTIF('Lista de Preços'!$A$4:$A$503,'Lista de Preços'!$A139)&gt;1),"ERRO","OK"),"")</f>
        <v/>
      </c>
      <c r="H150" s="27" t="str">
        <f aca="false">IF(COUNTA('Lista de Preços'!$A139:$W139)&gt;0,IF(AND('Lista de Preços'!$N139&lt;&gt;"",ISNUMBER('Lista de Preços'!$N139),OR('Lista de Preços'!$N139&lt;0,'Lista de Preços'!$N139&gt;0.5)),"ERRO","OK"),"")</f>
        <v/>
      </c>
      <c r="I150" s="27" t="str">
        <f aca="false">IF(COUNTA('Lista de Preços'!$A139:$W139)&gt;0,IF(OR($C150="ERRO",$D150="ERRO",$E150="ERRO",$F150="ERRO",$G150="ERRO",$H150="ERRO"),"FALHA","OK"),"")</f>
        <v/>
      </c>
    </row>
    <row r="151" customFormat="false" ht="15" hidden="false" customHeight="false" outlineLevel="0" collapsed="false">
      <c r="A151" s="26" t="n">
        <f aca="false">'Lista de Preços'!$A140</f>
        <v>0</v>
      </c>
      <c r="B151" s="26" t="n">
        <f aca="false">'Lista de Preços'!$B140</f>
        <v>0</v>
      </c>
      <c r="C151" s="27" t="str">
        <f aca="false">IF(COUNTA('Lista de Preços'!$A140:$W140)&gt;0,IF((COUNTBLANK('Lista de Preços'!$A140)+COUNTBLANK('Lista de Preços'!$B140)+COUNTBLANK('Lista de Preços'!$C140)+COUNTBLANK('Lista de Preços'!$D140)+COUNTBLANK('Lista de Preços'!$E140)+COUNTBLANK('Lista de Preços'!$F140)+COUNTBLANK('Lista de Preços'!$L140)+COUNTBLANK('Lista de Preços'!$M140)+COUNTBLANK('Lista de Preços'!$P140)+COUNTBLANK('Lista de Preços'!$U140)+COUNTBLANK('Lista de Preços'!$V140))&gt;0,"ERRO","OK"),"")</f>
        <v/>
      </c>
      <c r="D151" s="27" t="str">
        <f aca="false">IF(COUNTA('Lista de Preços'!$A140:$W140)&gt;0,IF(OR(AND('Lista de Preços'!$L140&lt;&gt;"",NOT(ISNUMBER('Lista de Preços'!$L140))),AND('Lista de Preços'!$M140&lt;&gt;"",NOT(ISNUMBER('Lista de Preços'!$M140)))),"ERRO","OK"),"")</f>
        <v/>
      </c>
      <c r="E151" s="27" t="str">
        <f aca="false">IF(COUNTA('Lista de Preços'!$A140:$W140)&gt;0,IF(AND(ISNUMBER('Lista de Preços'!$L140),ISNUMBER('Lista de Preços'!$M140),'Lista de Preços'!$L140&gt;'Lista de Preços'!$M140),"ERRO","OK"),"")</f>
        <v/>
      </c>
      <c r="F151" s="27" t="str">
        <f aca="true">IF(COUNTA('Lista de Preços'!$A140:$W140)&gt;0,IF(AND('Lista de Preços'!$S140&lt;&gt;"",ISNUMBER('Lista de Preços'!$S140),'Lista de Preços'!$S140&lt;TODAY()),"ERRO","OK"),"")</f>
        <v/>
      </c>
      <c r="G151" s="27" t="str">
        <f aca="false">IF(COUNTA('Lista de Preços'!$A140:$W140)&gt;0,IF(AND('Lista de Preços'!$A140&lt;&gt;"",COUNTIF('Lista de Preços'!$A$4:$A$503,'Lista de Preços'!$A140)&gt;1),"ERRO","OK"),"")</f>
        <v/>
      </c>
      <c r="H151" s="27" t="str">
        <f aca="false">IF(COUNTA('Lista de Preços'!$A140:$W140)&gt;0,IF(AND('Lista de Preços'!$N140&lt;&gt;"",ISNUMBER('Lista de Preços'!$N140),OR('Lista de Preços'!$N140&lt;0,'Lista de Preços'!$N140&gt;0.5)),"ERRO","OK"),"")</f>
        <v/>
      </c>
      <c r="I151" s="27" t="str">
        <f aca="false">IF(COUNTA('Lista de Preços'!$A140:$W140)&gt;0,IF(OR($C151="ERRO",$D151="ERRO",$E151="ERRO",$F151="ERRO",$G151="ERRO",$H151="ERRO"),"FALHA","OK"),"")</f>
        <v/>
      </c>
    </row>
    <row r="152" customFormat="false" ht="15" hidden="false" customHeight="false" outlineLevel="0" collapsed="false">
      <c r="A152" s="26" t="n">
        <f aca="false">'Lista de Preços'!$A141</f>
        <v>0</v>
      </c>
      <c r="B152" s="26" t="n">
        <f aca="false">'Lista de Preços'!$B141</f>
        <v>0</v>
      </c>
      <c r="C152" s="27" t="str">
        <f aca="false">IF(COUNTA('Lista de Preços'!$A141:$W141)&gt;0,IF((COUNTBLANK('Lista de Preços'!$A141)+COUNTBLANK('Lista de Preços'!$B141)+COUNTBLANK('Lista de Preços'!$C141)+COUNTBLANK('Lista de Preços'!$D141)+COUNTBLANK('Lista de Preços'!$E141)+COUNTBLANK('Lista de Preços'!$F141)+COUNTBLANK('Lista de Preços'!$L141)+COUNTBLANK('Lista de Preços'!$M141)+COUNTBLANK('Lista de Preços'!$P141)+COUNTBLANK('Lista de Preços'!$U141)+COUNTBLANK('Lista de Preços'!$V141))&gt;0,"ERRO","OK"),"")</f>
        <v/>
      </c>
      <c r="D152" s="27" t="str">
        <f aca="false">IF(COUNTA('Lista de Preços'!$A141:$W141)&gt;0,IF(OR(AND('Lista de Preços'!$L141&lt;&gt;"",NOT(ISNUMBER('Lista de Preços'!$L141))),AND('Lista de Preços'!$M141&lt;&gt;"",NOT(ISNUMBER('Lista de Preços'!$M141)))),"ERRO","OK"),"")</f>
        <v/>
      </c>
      <c r="E152" s="27" t="str">
        <f aca="false">IF(COUNTA('Lista de Preços'!$A141:$W141)&gt;0,IF(AND(ISNUMBER('Lista de Preços'!$L141),ISNUMBER('Lista de Preços'!$M141),'Lista de Preços'!$L141&gt;'Lista de Preços'!$M141),"ERRO","OK"),"")</f>
        <v/>
      </c>
      <c r="F152" s="27" t="str">
        <f aca="true">IF(COUNTA('Lista de Preços'!$A141:$W141)&gt;0,IF(AND('Lista de Preços'!$S141&lt;&gt;"",ISNUMBER('Lista de Preços'!$S141),'Lista de Preços'!$S141&lt;TODAY()),"ERRO","OK"),"")</f>
        <v/>
      </c>
      <c r="G152" s="27" t="str">
        <f aca="false">IF(COUNTA('Lista de Preços'!$A141:$W141)&gt;0,IF(AND('Lista de Preços'!$A141&lt;&gt;"",COUNTIF('Lista de Preços'!$A$4:$A$503,'Lista de Preços'!$A141)&gt;1),"ERRO","OK"),"")</f>
        <v/>
      </c>
      <c r="H152" s="27" t="str">
        <f aca="false">IF(COUNTA('Lista de Preços'!$A141:$W141)&gt;0,IF(AND('Lista de Preços'!$N141&lt;&gt;"",ISNUMBER('Lista de Preços'!$N141),OR('Lista de Preços'!$N141&lt;0,'Lista de Preços'!$N141&gt;0.5)),"ERRO","OK"),"")</f>
        <v/>
      </c>
      <c r="I152" s="27" t="str">
        <f aca="false">IF(COUNTA('Lista de Preços'!$A141:$W141)&gt;0,IF(OR($C152="ERRO",$D152="ERRO",$E152="ERRO",$F152="ERRO",$G152="ERRO",$H152="ERRO"),"FALHA","OK"),"")</f>
        <v/>
      </c>
    </row>
    <row r="153" customFormat="false" ht="15" hidden="false" customHeight="false" outlineLevel="0" collapsed="false">
      <c r="A153" s="26" t="n">
        <f aca="false">'Lista de Preços'!$A142</f>
        <v>0</v>
      </c>
      <c r="B153" s="26" t="n">
        <f aca="false">'Lista de Preços'!$B142</f>
        <v>0</v>
      </c>
      <c r="C153" s="27" t="str">
        <f aca="false">IF(COUNTA('Lista de Preços'!$A142:$W142)&gt;0,IF((COUNTBLANK('Lista de Preços'!$A142)+COUNTBLANK('Lista de Preços'!$B142)+COUNTBLANK('Lista de Preços'!$C142)+COUNTBLANK('Lista de Preços'!$D142)+COUNTBLANK('Lista de Preços'!$E142)+COUNTBLANK('Lista de Preços'!$F142)+COUNTBLANK('Lista de Preços'!$L142)+COUNTBLANK('Lista de Preços'!$M142)+COUNTBLANK('Lista de Preços'!$P142)+COUNTBLANK('Lista de Preços'!$U142)+COUNTBLANK('Lista de Preços'!$V142))&gt;0,"ERRO","OK"),"")</f>
        <v/>
      </c>
      <c r="D153" s="27" t="str">
        <f aca="false">IF(COUNTA('Lista de Preços'!$A142:$W142)&gt;0,IF(OR(AND('Lista de Preços'!$L142&lt;&gt;"",NOT(ISNUMBER('Lista de Preços'!$L142))),AND('Lista de Preços'!$M142&lt;&gt;"",NOT(ISNUMBER('Lista de Preços'!$M142)))),"ERRO","OK"),"")</f>
        <v/>
      </c>
      <c r="E153" s="27" t="str">
        <f aca="false">IF(COUNTA('Lista de Preços'!$A142:$W142)&gt;0,IF(AND(ISNUMBER('Lista de Preços'!$L142),ISNUMBER('Lista de Preços'!$M142),'Lista de Preços'!$L142&gt;'Lista de Preços'!$M142),"ERRO","OK"),"")</f>
        <v/>
      </c>
      <c r="F153" s="27" t="str">
        <f aca="true">IF(COUNTA('Lista de Preços'!$A142:$W142)&gt;0,IF(AND('Lista de Preços'!$S142&lt;&gt;"",ISNUMBER('Lista de Preços'!$S142),'Lista de Preços'!$S142&lt;TODAY()),"ERRO","OK"),"")</f>
        <v/>
      </c>
      <c r="G153" s="27" t="str">
        <f aca="false">IF(COUNTA('Lista de Preços'!$A142:$W142)&gt;0,IF(AND('Lista de Preços'!$A142&lt;&gt;"",COUNTIF('Lista de Preços'!$A$4:$A$503,'Lista de Preços'!$A142)&gt;1),"ERRO","OK"),"")</f>
        <v/>
      </c>
      <c r="H153" s="27" t="str">
        <f aca="false">IF(COUNTA('Lista de Preços'!$A142:$W142)&gt;0,IF(AND('Lista de Preços'!$N142&lt;&gt;"",ISNUMBER('Lista de Preços'!$N142),OR('Lista de Preços'!$N142&lt;0,'Lista de Preços'!$N142&gt;0.5)),"ERRO","OK"),"")</f>
        <v/>
      </c>
      <c r="I153" s="27" t="str">
        <f aca="false">IF(COUNTA('Lista de Preços'!$A142:$W142)&gt;0,IF(OR($C153="ERRO",$D153="ERRO",$E153="ERRO",$F153="ERRO",$G153="ERRO",$H153="ERRO"),"FALHA","OK"),"")</f>
        <v/>
      </c>
    </row>
    <row r="154" customFormat="false" ht="15" hidden="false" customHeight="false" outlineLevel="0" collapsed="false">
      <c r="A154" s="26" t="n">
        <f aca="false">'Lista de Preços'!$A143</f>
        <v>0</v>
      </c>
      <c r="B154" s="26" t="n">
        <f aca="false">'Lista de Preços'!$B143</f>
        <v>0</v>
      </c>
      <c r="C154" s="27" t="str">
        <f aca="false">IF(COUNTA('Lista de Preços'!$A143:$W143)&gt;0,IF((COUNTBLANK('Lista de Preços'!$A143)+COUNTBLANK('Lista de Preços'!$B143)+COUNTBLANK('Lista de Preços'!$C143)+COUNTBLANK('Lista de Preços'!$D143)+COUNTBLANK('Lista de Preços'!$E143)+COUNTBLANK('Lista de Preços'!$F143)+COUNTBLANK('Lista de Preços'!$L143)+COUNTBLANK('Lista de Preços'!$M143)+COUNTBLANK('Lista de Preços'!$P143)+COUNTBLANK('Lista de Preços'!$U143)+COUNTBLANK('Lista de Preços'!$V143))&gt;0,"ERRO","OK"),"")</f>
        <v/>
      </c>
      <c r="D154" s="27" t="str">
        <f aca="false">IF(COUNTA('Lista de Preços'!$A143:$W143)&gt;0,IF(OR(AND('Lista de Preços'!$L143&lt;&gt;"",NOT(ISNUMBER('Lista de Preços'!$L143))),AND('Lista de Preços'!$M143&lt;&gt;"",NOT(ISNUMBER('Lista de Preços'!$M143)))),"ERRO","OK"),"")</f>
        <v/>
      </c>
      <c r="E154" s="27" t="str">
        <f aca="false">IF(COUNTA('Lista de Preços'!$A143:$W143)&gt;0,IF(AND(ISNUMBER('Lista de Preços'!$L143),ISNUMBER('Lista de Preços'!$M143),'Lista de Preços'!$L143&gt;'Lista de Preços'!$M143),"ERRO","OK"),"")</f>
        <v/>
      </c>
      <c r="F154" s="27" t="str">
        <f aca="true">IF(COUNTA('Lista de Preços'!$A143:$W143)&gt;0,IF(AND('Lista de Preços'!$S143&lt;&gt;"",ISNUMBER('Lista de Preços'!$S143),'Lista de Preços'!$S143&lt;TODAY()),"ERRO","OK"),"")</f>
        <v/>
      </c>
      <c r="G154" s="27" t="str">
        <f aca="false">IF(COUNTA('Lista de Preços'!$A143:$W143)&gt;0,IF(AND('Lista de Preços'!$A143&lt;&gt;"",COUNTIF('Lista de Preços'!$A$4:$A$503,'Lista de Preços'!$A143)&gt;1),"ERRO","OK"),"")</f>
        <v/>
      </c>
      <c r="H154" s="27" t="str">
        <f aca="false">IF(COUNTA('Lista de Preços'!$A143:$W143)&gt;0,IF(AND('Lista de Preços'!$N143&lt;&gt;"",ISNUMBER('Lista de Preços'!$N143),OR('Lista de Preços'!$N143&lt;0,'Lista de Preços'!$N143&gt;0.5)),"ERRO","OK"),"")</f>
        <v/>
      </c>
      <c r="I154" s="27" t="str">
        <f aca="false">IF(COUNTA('Lista de Preços'!$A143:$W143)&gt;0,IF(OR($C154="ERRO",$D154="ERRO",$E154="ERRO",$F154="ERRO",$G154="ERRO",$H154="ERRO"),"FALHA","OK"),"")</f>
        <v/>
      </c>
    </row>
    <row r="155" customFormat="false" ht="15" hidden="false" customHeight="false" outlineLevel="0" collapsed="false">
      <c r="A155" s="26" t="n">
        <f aca="false">'Lista de Preços'!$A144</f>
        <v>0</v>
      </c>
      <c r="B155" s="26" t="n">
        <f aca="false">'Lista de Preços'!$B144</f>
        <v>0</v>
      </c>
      <c r="C155" s="27" t="str">
        <f aca="false">IF(COUNTA('Lista de Preços'!$A144:$W144)&gt;0,IF((COUNTBLANK('Lista de Preços'!$A144)+COUNTBLANK('Lista de Preços'!$B144)+COUNTBLANK('Lista de Preços'!$C144)+COUNTBLANK('Lista de Preços'!$D144)+COUNTBLANK('Lista de Preços'!$E144)+COUNTBLANK('Lista de Preços'!$F144)+COUNTBLANK('Lista de Preços'!$L144)+COUNTBLANK('Lista de Preços'!$M144)+COUNTBLANK('Lista de Preços'!$P144)+COUNTBLANK('Lista de Preços'!$U144)+COUNTBLANK('Lista de Preços'!$V144))&gt;0,"ERRO","OK"),"")</f>
        <v/>
      </c>
      <c r="D155" s="27" t="str">
        <f aca="false">IF(COUNTA('Lista de Preços'!$A144:$W144)&gt;0,IF(OR(AND('Lista de Preços'!$L144&lt;&gt;"",NOT(ISNUMBER('Lista de Preços'!$L144))),AND('Lista de Preços'!$M144&lt;&gt;"",NOT(ISNUMBER('Lista de Preços'!$M144)))),"ERRO","OK"),"")</f>
        <v/>
      </c>
      <c r="E155" s="27" t="str">
        <f aca="false">IF(COUNTA('Lista de Preços'!$A144:$W144)&gt;0,IF(AND(ISNUMBER('Lista de Preços'!$L144),ISNUMBER('Lista de Preços'!$M144),'Lista de Preços'!$L144&gt;'Lista de Preços'!$M144),"ERRO","OK"),"")</f>
        <v/>
      </c>
      <c r="F155" s="27" t="str">
        <f aca="true">IF(COUNTA('Lista de Preços'!$A144:$W144)&gt;0,IF(AND('Lista de Preços'!$S144&lt;&gt;"",ISNUMBER('Lista de Preços'!$S144),'Lista de Preços'!$S144&lt;TODAY()),"ERRO","OK"),"")</f>
        <v/>
      </c>
      <c r="G155" s="27" t="str">
        <f aca="false">IF(COUNTA('Lista de Preços'!$A144:$W144)&gt;0,IF(AND('Lista de Preços'!$A144&lt;&gt;"",COUNTIF('Lista de Preços'!$A$4:$A$503,'Lista de Preços'!$A144)&gt;1),"ERRO","OK"),"")</f>
        <v/>
      </c>
      <c r="H155" s="27" t="str">
        <f aca="false">IF(COUNTA('Lista de Preços'!$A144:$W144)&gt;0,IF(AND('Lista de Preços'!$N144&lt;&gt;"",ISNUMBER('Lista de Preços'!$N144),OR('Lista de Preços'!$N144&lt;0,'Lista de Preços'!$N144&gt;0.5)),"ERRO","OK"),"")</f>
        <v/>
      </c>
      <c r="I155" s="27" t="str">
        <f aca="false">IF(COUNTA('Lista de Preços'!$A144:$W144)&gt;0,IF(OR($C155="ERRO",$D155="ERRO",$E155="ERRO",$F155="ERRO",$G155="ERRO",$H155="ERRO"),"FALHA","OK"),"")</f>
        <v/>
      </c>
    </row>
    <row r="156" customFormat="false" ht="15" hidden="false" customHeight="false" outlineLevel="0" collapsed="false">
      <c r="A156" s="26" t="n">
        <f aca="false">'Lista de Preços'!$A145</f>
        <v>0</v>
      </c>
      <c r="B156" s="26" t="n">
        <f aca="false">'Lista de Preços'!$B145</f>
        <v>0</v>
      </c>
      <c r="C156" s="27" t="str">
        <f aca="false">IF(COUNTA('Lista de Preços'!$A145:$W145)&gt;0,IF((COUNTBLANK('Lista de Preços'!$A145)+COUNTBLANK('Lista de Preços'!$B145)+COUNTBLANK('Lista de Preços'!$C145)+COUNTBLANK('Lista de Preços'!$D145)+COUNTBLANK('Lista de Preços'!$E145)+COUNTBLANK('Lista de Preços'!$F145)+COUNTBLANK('Lista de Preços'!$L145)+COUNTBLANK('Lista de Preços'!$M145)+COUNTBLANK('Lista de Preços'!$P145)+COUNTBLANK('Lista de Preços'!$U145)+COUNTBLANK('Lista de Preços'!$V145))&gt;0,"ERRO","OK"),"")</f>
        <v/>
      </c>
      <c r="D156" s="27" t="str">
        <f aca="false">IF(COUNTA('Lista de Preços'!$A145:$W145)&gt;0,IF(OR(AND('Lista de Preços'!$L145&lt;&gt;"",NOT(ISNUMBER('Lista de Preços'!$L145))),AND('Lista de Preços'!$M145&lt;&gt;"",NOT(ISNUMBER('Lista de Preços'!$M145)))),"ERRO","OK"),"")</f>
        <v/>
      </c>
      <c r="E156" s="27" t="str">
        <f aca="false">IF(COUNTA('Lista de Preços'!$A145:$W145)&gt;0,IF(AND(ISNUMBER('Lista de Preços'!$L145),ISNUMBER('Lista de Preços'!$M145),'Lista de Preços'!$L145&gt;'Lista de Preços'!$M145),"ERRO","OK"),"")</f>
        <v/>
      </c>
      <c r="F156" s="27" t="str">
        <f aca="true">IF(COUNTA('Lista de Preços'!$A145:$W145)&gt;0,IF(AND('Lista de Preços'!$S145&lt;&gt;"",ISNUMBER('Lista de Preços'!$S145),'Lista de Preços'!$S145&lt;TODAY()),"ERRO","OK"),"")</f>
        <v/>
      </c>
      <c r="G156" s="27" t="str">
        <f aca="false">IF(COUNTA('Lista de Preços'!$A145:$W145)&gt;0,IF(AND('Lista de Preços'!$A145&lt;&gt;"",COUNTIF('Lista de Preços'!$A$4:$A$503,'Lista de Preços'!$A145)&gt;1),"ERRO","OK"),"")</f>
        <v/>
      </c>
      <c r="H156" s="27" t="str">
        <f aca="false">IF(COUNTA('Lista de Preços'!$A145:$W145)&gt;0,IF(AND('Lista de Preços'!$N145&lt;&gt;"",ISNUMBER('Lista de Preços'!$N145),OR('Lista de Preços'!$N145&lt;0,'Lista de Preços'!$N145&gt;0.5)),"ERRO","OK"),"")</f>
        <v/>
      </c>
      <c r="I156" s="27" t="str">
        <f aca="false">IF(COUNTA('Lista de Preços'!$A145:$W145)&gt;0,IF(OR($C156="ERRO",$D156="ERRO",$E156="ERRO",$F156="ERRO",$G156="ERRO",$H156="ERRO"),"FALHA","OK"),"")</f>
        <v/>
      </c>
    </row>
    <row r="157" customFormat="false" ht="15" hidden="false" customHeight="false" outlineLevel="0" collapsed="false">
      <c r="A157" s="26" t="n">
        <f aca="false">'Lista de Preços'!$A146</f>
        <v>0</v>
      </c>
      <c r="B157" s="26" t="n">
        <f aca="false">'Lista de Preços'!$B146</f>
        <v>0</v>
      </c>
      <c r="C157" s="27" t="str">
        <f aca="false">IF(COUNTA('Lista de Preços'!$A146:$W146)&gt;0,IF((COUNTBLANK('Lista de Preços'!$A146)+COUNTBLANK('Lista de Preços'!$B146)+COUNTBLANK('Lista de Preços'!$C146)+COUNTBLANK('Lista de Preços'!$D146)+COUNTBLANK('Lista de Preços'!$E146)+COUNTBLANK('Lista de Preços'!$F146)+COUNTBLANK('Lista de Preços'!$L146)+COUNTBLANK('Lista de Preços'!$M146)+COUNTBLANK('Lista de Preços'!$P146)+COUNTBLANK('Lista de Preços'!$U146)+COUNTBLANK('Lista de Preços'!$V146))&gt;0,"ERRO","OK"),"")</f>
        <v/>
      </c>
      <c r="D157" s="27" t="str">
        <f aca="false">IF(COUNTA('Lista de Preços'!$A146:$W146)&gt;0,IF(OR(AND('Lista de Preços'!$L146&lt;&gt;"",NOT(ISNUMBER('Lista de Preços'!$L146))),AND('Lista de Preços'!$M146&lt;&gt;"",NOT(ISNUMBER('Lista de Preços'!$M146)))),"ERRO","OK"),"")</f>
        <v/>
      </c>
      <c r="E157" s="27" t="str">
        <f aca="false">IF(COUNTA('Lista de Preços'!$A146:$W146)&gt;0,IF(AND(ISNUMBER('Lista de Preços'!$L146),ISNUMBER('Lista de Preços'!$M146),'Lista de Preços'!$L146&gt;'Lista de Preços'!$M146),"ERRO","OK"),"")</f>
        <v/>
      </c>
      <c r="F157" s="27" t="str">
        <f aca="true">IF(COUNTA('Lista de Preços'!$A146:$W146)&gt;0,IF(AND('Lista de Preços'!$S146&lt;&gt;"",ISNUMBER('Lista de Preços'!$S146),'Lista de Preços'!$S146&lt;TODAY()),"ERRO","OK"),"")</f>
        <v/>
      </c>
      <c r="G157" s="27" t="str">
        <f aca="false">IF(COUNTA('Lista de Preços'!$A146:$W146)&gt;0,IF(AND('Lista de Preços'!$A146&lt;&gt;"",COUNTIF('Lista de Preços'!$A$4:$A$503,'Lista de Preços'!$A146)&gt;1),"ERRO","OK"),"")</f>
        <v/>
      </c>
      <c r="H157" s="27" t="str">
        <f aca="false">IF(COUNTA('Lista de Preços'!$A146:$W146)&gt;0,IF(AND('Lista de Preços'!$N146&lt;&gt;"",ISNUMBER('Lista de Preços'!$N146),OR('Lista de Preços'!$N146&lt;0,'Lista de Preços'!$N146&gt;0.5)),"ERRO","OK"),"")</f>
        <v/>
      </c>
      <c r="I157" s="27" t="str">
        <f aca="false">IF(COUNTA('Lista de Preços'!$A146:$W146)&gt;0,IF(OR($C157="ERRO",$D157="ERRO",$E157="ERRO",$F157="ERRO",$G157="ERRO",$H157="ERRO"),"FALHA","OK"),"")</f>
        <v/>
      </c>
    </row>
    <row r="158" customFormat="false" ht="15" hidden="false" customHeight="false" outlineLevel="0" collapsed="false">
      <c r="A158" s="26" t="n">
        <f aca="false">'Lista de Preços'!$A147</f>
        <v>0</v>
      </c>
      <c r="B158" s="26" t="n">
        <f aca="false">'Lista de Preços'!$B147</f>
        <v>0</v>
      </c>
      <c r="C158" s="27" t="str">
        <f aca="false">IF(COUNTA('Lista de Preços'!$A147:$W147)&gt;0,IF((COUNTBLANK('Lista de Preços'!$A147)+COUNTBLANK('Lista de Preços'!$B147)+COUNTBLANK('Lista de Preços'!$C147)+COUNTBLANK('Lista de Preços'!$D147)+COUNTBLANK('Lista de Preços'!$E147)+COUNTBLANK('Lista de Preços'!$F147)+COUNTBLANK('Lista de Preços'!$L147)+COUNTBLANK('Lista de Preços'!$M147)+COUNTBLANK('Lista de Preços'!$P147)+COUNTBLANK('Lista de Preços'!$U147)+COUNTBLANK('Lista de Preços'!$V147))&gt;0,"ERRO","OK"),"")</f>
        <v/>
      </c>
      <c r="D158" s="27" t="str">
        <f aca="false">IF(COUNTA('Lista de Preços'!$A147:$W147)&gt;0,IF(OR(AND('Lista de Preços'!$L147&lt;&gt;"",NOT(ISNUMBER('Lista de Preços'!$L147))),AND('Lista de Preços'!$M147&lt;&gt;"",NOT(ISNUMBER('Lista de Preços'!$M147)))),"ERRO","OK"),"")</f>
        <v/>
      </c>
      <c r="E158" s="27" t="str">
        <f aca="false">IF(COUNTA('Lista de Preços'!$A147:$W147)&gt;0,IF(AND(ISNUMBER('Lista de Preços'!$L147),ISNUMBER('Lista de Preços'!$M147),'Lista de Preços'!$L147&gt;'Lista de Preços'!$M147),"ERRO","OK"),"")</f>
        <v/>
      </c>
      <c r="F158" s="27" t="str">
        <f aca="true">IF(COUNTA('Lista de Preços'!$A147:$W147)&gt;0,IF(AND('Lista de Preços'!$S147&lt;&gt;"",ISNUMBER('Lista de Preços'!$S147),'Lista de Preços'!$S147&lt;TODAY()),"ERRO","OK"),"")</f>
        <v/>
      </c>
      <c r="G158" s="27" t="str">
        <f aca="false">IF(COUNTA('Lista de Preços'!$A147:$W147)&gt;0,IF(AND('Lista de Preços'!$A147&lt;&gt;"",COUNTIF('Lista de Preços'!$A$4:$A$503,'Lista de Preços'!$A147)&gt;1),"ERRO","OK"),"")</f>
        <v/>
      </c>
      <c r="H158" s="27" t="str">
        <f aca="false">IF(COUNTA('Lista de Preços'!$A147:$W147)&gt;0,IF(AND('Lista de Preços'!$N147&lt;&gt;"",ISNUMBER('Lista de Preços'!$N147),OR('Lista de Preços'!$N147&lt;0,'Lista de Preços'!$N147&gt;0.5)),"ERRO","OK"),"")</f>
        <v/>
      </c>
      <c r="I158" s="27" t="str">
        <f aca="false">IF(COUNTA('Lista de Preços'!$A147:$W147)&gt;0,IF(OR($C158="ERRO",$D158="ERRO",$E158="ERRO",$F158="ERRO",$G158="ERRO",$H158="ERRO"),"FALHA","OK"),"")</f>
        <v/>
      </c>
    </row>
    <row r="159" customFormat="false" ht="15" hidden="false" customHeight="false" outlineLevel="0" collapsed="false">
      <c r="A159" s="26" t="n">
        <f aca="false">'Lista de Preços'!$A148</f>
        <v>0</v>
      </c>
      <c r="B159" s="26" t="n">
        <f aca="false">'Lista de Preços'!$B148</f>
        <v>0</v>
      </c>
      <c r="C159" s="27" t="str">
        <f aca="false">IF(COUNTA('Lista de Preços'!$A148:$W148)&gt;0,IF((COUNTBLANK('Lista de Preços'!$A148)+COUNTBLANK('Lista de Preços'!$B148)+COUNTBLANK('Lista de Preços'!$C148)+COUNTBLANK('Lista de Preços'!$D148)+COUNTBLANK('Lista de Preços'!$E148)+COUNTBLANK('Lista de Preços'!$F148)+COUNTBLANK('Lista de Preços'!$L148)+COUNTBLANK('Lista de Preços'!$M148)+COUNTBLANK('Lista de Preços'!$P148)+COUNTBLANK('Lista de Preços'!$U148)+COUNTBLANK('Lista de Preços'!$V148))&gt;0,"ERRO","OK"),"")</f>
        <v/>
      </c>
      <c r="D159" s="27" t="str">
        <f aca="false">IF(COUNTA('Lista de Preços'!$A148:$W148)&gt;0,IF(OR(AND('Lista de Preços'!$L148&lt;&gt;"",NOT(ISNUMBER('Lista de Preços'!$L148))),AND('Lista de Preços'!$M148&lt;&gt;"",NOT(ISNUMBER('Lista de Preços'!$M148)))),"ERRO","OK"),"")</f>
        <v/>
      </c>
      <c r="E159" s="27" t="str">
        <f aca="false">IF(COUNTA('Lista de Preços'!$A148:$W148)&gt;0,IF(AND(ISNUMBER('Lista de Preços'!$L148),ISNUMBER('Lista de Preços'!$M148),'Lista de Preços'!$L148&gt;'Lista de Preços'!$M148),"ERRO","OK"),"")</f>
        <v/>
      </c>
      <c r="F159" s="27" t="str">
        <f aca="true">IF(COUNTA('Lista de Preços'!$A148:$W148)&gt;0,IF(AND('Lista de Preços'!$S148&lt;&gt;"",ISNUMBER('Lista de Preços'!$S148),'Lista de Preços'!$S148&lt;TODAY()),"ERRO","OK"),"")</f>
        <v/>
      </c>
      <c r="G159" s="27" t="str">
        <f aca="false">IF(COUNTA('Lista de Preços'!$A148:$W148)&gt;0,IF(AND('Lista de Preços'!$A148&lt;&gt;"",COUNTIF('Lista de Preços'!$A$4:$A$503,'Lista de Preços'!$A148)&gt;1),"ERRO","OK"),"")</f>
        <v/>
      </c>
      <c r="H159" s="27" t="str">
        <f aca="false">IF(COUNTA('Lista de Preços'!$A148:$W148)&gt;0,IF(AND('Lista de Preços'!$N148&lt;&gt;"",ISNUMBER('Lista de Preços'!$N148),OR('Lista de Preços'!$N148&lt;0,'Lista de Preços'!$N148&gt;0.5)),"ERRO","OK"),"")</f>
        <v/>
      </c>
      <c r="I159" s="27" t="str">
        <f aca="false">IF(COUNTA('Lista de Preços'!$A148:$W148)&gt;0,IF(OR($C159="ERRO",$D159="ERRO",$E159="ERRO",$F159="ERRO",$G159="ERRO",$H159="ERRO"),"FALHA","OK"),"")</f>
        <v/>
      </c>
    </row>
    <row r="160" customFormat="false" ht="15" hidden="false" customHeight="false" outlineLevel="0" collapsed="false">
      <c r="A160" s="26" t="n">
        <f aca="false">'Lista de Preços'!$A149</f>
        <v>0</v>
      </c>
      <c r="B160" s="26" t="n">
        <f aca="false">'Lista de Preços'!$B149</f>
        <v>0</v>
      </c>
      <c r="C160" s="27" t="str">
        <f aca="false">IF(COUNTA('Lista de Preços'!$A149:$W149)&gt;0,IF((COUNTBLANK('Lista de Preços'!$A149)+COUNTBLANK('Lista de Preços'!$B149)+COUNTBLANK('Lista de Preços'!$C149)+COUNTBLANK('Lista de Preços'!$D149)+COUNTBLANK('Lista de Preços'!$E149)+COUNTBLANK('Lista de Preços'!$F149)+COUNTBLANK('Lista de Preços'!$L149)+COUNTBLANK('Lista de Preços'!$M149)+COUNTBLANK('Lista de Preços'!$P149)+COUNTBLANK('Lista de Preços'!$U149)+COUNTBLANK('Lista de Preços'!$V149))&gt;0,"ERRO","OK"),"")</f>
        <v/>
      </c>
      <c r="D160" s="27" t="str">
        <f aca="false">IF(COUNTA('Lista de Preços'!$A149:$W149)&gt;0,IF(OR(AND('Lista de Preços'!$L149&lt;&gt;"",NOT(ISNUMBER('Lista de Preços'!$L149))),AND('Lista de Preços'!$M149&lt;&gt;"",NOT(ISNUMBER('Lista de Preços'!$M149)))),"ERRO","OK"),"")</f>
        <v/>
      </c>
      <c r="E160" s="27" t="str">
        <f aca="false">IF(COUNTA('Lista de Preços'!$A149:$W149)&gt;0,IF(AND(ISNUMBER('Lista de Preços'!$L149),ISNUMBER('Lista de Preços'!$M149),'Lista de Preços'!$L149&gt;'Lista de Preços'!$M149),"ERRO","OK"),"")</f>
        <v/>
      </c>
      <c r="F160" s="27" t="str">
        <f aca="true">IF(COUNTA('Lista de Preços'!$A149:$W149)&gt;0,IF(AND('Lista de Preços'!$S149&lt;&gt;"",ISNUMBER('Lista de Preços'!$S149),'Lista de Preços'!$S149&lt;TODAY()),"ERRO","OK"),"")</f>
        <v/>
      </c>
      <c r="G160" s="27" t="str">
        <f aca="false">IF(COUNTA('Lista de Preços'!$A149:$W149)&gt;0,IF(AND('Lista de Preços'!$A149&lt;&gt;"",COUNTIF('Lista de Preços'!$A$4:$A$503,'Lista de Preços'!$A149)&gt;1),"ERRO","OK"),"")</f>
        <v/>
      </c>
      <c r="H160" s="27" t="str">
        <f aca="false">IF(COUNTA('Lista de Preços'!$A149:$W149)&gt;0,IF(AND('Lista de Preços'!$N149&lt;&gt;"",ISNUMBER('Lista de Preços'!$N149),OR('Lista de Preços'!$N149&lt;0,'Lista de Preços'!$N149&gt;0.5)),"ERRO","OK"),"")</f>
        <v/>
      </c>
      <c r="I160" s="27" t="str">
        <f aca="false">IF(COUNTA('Lista de Preços'!$A149:$W149)&gt;0,IF(OR($C160="ERRO",$D160="ERRO",$E160="ERRO",$F160="ERRO",$G160="ERRO",$H160="ERRO"),"FALHA","OK"),"")</f>
        <v/>
      </c>
    </row>
    <row r="161" customFormat="false" ht="15" hidden="false" customHeight="false" outlineLevel="0" collapsed="false">
      <c r="A161" s="26" t="n">
        <f aca="false">'Lista de Preços'!$A150</f>
        <v>0</v>
      </c>
      <c r="B161" s="26" t="n">
        <f aca="false">'Lista de Preços'!$B150</f>
        <v>0</v>
      </c>
      <c r="C161" s="27" t="str">
        <f aca="false">IF(COUNTA('Lista de Preços'!$A150:$W150)&gt;0,IF((COUNTBLANK('Lista de Preços'!$A150)+COUNTBLANK('Lista de Preços'!$B150)+COUNTBLANK('Lista de Preços'!$C150)+COUNTBLANK('Lista de Preços'!$D150)+COUNTBLANK('Lista de Preços'!$E150)+COUNTBLANK('Lista de Preços'!$F150)+COUNTBLANK('Lista de Preços'!$L150)+COUNTBLANK('Lista de Preços'!$M150)+COUNTBLANK('Lista de Preços'!$P150)+COUNTBLANK('Lista de Preços'!$U150)+COUNTBLANK('Lista de Preços'!$V150))&gt;0,"ERRO","OK"),"")</f>
        <v/>
      </c>
      <c r="D161" s="27" t="str">
        <f aca="false">IF(COUNTA('Lista de Preços'!$A150:$W150)&gt;0,IF(OR(AND('Lista de Preços'!$L150&lt;&gt;"",NOT(ISNUMBER('Lista de Preços'!$L150))),AND('Lista de Preços'!$M150&lt;&gt;"",NOT(ISNUMBER('Lista de Preços'!$M150)))),"ERRO","OK"),"")</f>
        <v/>
      </c>
      <c r="E161" s="27" t="str">
        <f aca="false">IF(COUNTA('Lista de Preços'!$A150:$W150)&gt;0,IF(AND(ISNUMBER('Lista de Preços'!$L150),ISNUMBER('Lista de Preços'!$M150),'Lista de Preços'!$L150&gt;'Lista de Preços'!$M150),"ERRO","OK"),"")</f>
        <v/>
      </c>
      <c r="F161" s="27" t="str">
        <f aca="true">IF(COUNTA('Lista de Preços'!$A150:$W150)&gt;0,IF(AND('Lista de Preços'!$S150&lt;&gt;"",ISNUMBER('Lista de Preços'!$S150),'Lista de Preços'!$S150&lt;TODAY()),"ERRO","OK"),"")</f>
        <v/>
      </c>
      <c r="G161" s="27" t="str">
        <f aca="false">IF(COUNTA('Lista de Preços'!$A150:$W150)&gt;0,IF(AND('Lista de Preços'!$A150&lt;&gt;"",COUNTIF('Lista de Preços'!$A$4:$A$503,'Lista de Preços'!$A150)&gt;1),"ERRO","OK"),"")</f>
        <v/>
      </c>
      <c r="H161" s="27" t="str">
        <f aca="false">IF(COUNTA('Lista de Preços'!$A150:$W150)&gt;0,IF(AND('Lista de Preços'!$N150&lt;&gt;"",ISNUMBER('Lista de Preços'!$N150),OR('Lista de Preços'!$N150&lt;0,'Lista de Preços'!$N150&gt;0.5)),"ERRO","OK"),"")</f>
        <v/>
      </c>
      <c r="I161" s="27" t="str">
        <f aca="false">IF(COUNTA('Lista de Preços'!$A150:$W150)&gt;0,IF(OR($C161="ERRO",$D161="ERRO",$E161="ERRO",$F161="ERRO",$G161="ERRO",$H161="ERRO"),"FALHA","OK"),"")</f>
        <v/>
      </c>
    </row>
    <row r="162" customFormat="false" ht="15" hidden="false" customHeight="false" outlineLevel="0" collapsed="false">
      <c r="A162" s="26" t="n">
        <f aca="false">'Lista de Preços'!$A151</f>
        <v>0</v>
      </c>
      <c r="B162" s="26" t="n">
        <f aca="false">'Lista de Preços'!$B151</f>
        <v>0</v>
      </c>
      <c r="C162" s="27" t="str">
        <f aca="false">IF(COUNTA('Lista de Preços'!$A151:$W151)&gt;0,IF((COUNTBLANK('Lista de Preços'!$A151)+COUNTBLANK('Lista de Preços'!$B151)+COUNTBLANK('Lista de Preços'!$C151)+COUNTBLANK('Lista de Preços'!$D151)+COUNTBLANK('Lista de Preços'!$E151)+COUNTBLANK('Lista de Preços'!$F151)+COUNTBLANK('Lista de Preços'!$L151)+COUNTBLANK('Lista de Preços'!$M151)+COUNTBLANK('Lista de Preços'!$P151)+COUNTBLANK('Lista de Preços'!$U151)+COUNTBLANK('Lista de Preços'!$V151))&gt;0,"ERRO","OK"),"")</f>
        <v/>
      </c>
      <c r="D162" s="27" t="str">
        <f aca="false">IF(COUNTA('Lista de Preços'!$A151:$W151)&gt;0,IF(OR(AND('Lista de Preços'!$L151&lt;&gt;"",NOT(ISNUMBER('Lista de Preços'!$L151))),AND('Lista de Preços'!$M151&lt;&gt;"",NOT(ISNUMBER('Lista de Preços'!$M151)))),"ERRO","OK"),"")</f>
        <v/>
      </c>
      <c r="E162" s="27" t="str">
        <f aca="false">IF(COUNTA('Lista de Preços'!$A151:$W151)&gt;0,IF(AND(ISNUMBER('Lista de Preços'!$L151),ISNUMBER('Lista de Preços'!$M151),'Lista de Preços'!$L151&gt;'Lista de Preços'!$M151),"ERRO","OK"),"")</f>
        <v/>
      </c>
      <c r="F162" s="27" t="str">
        <f aca="true">IF(COUNTA('Lista de Preços'!$A151:$W151)&gt;0,IF(AND('Lista de Preços'!$S151&lt;&gt;"",ISNUMBER('Lista de Preços'!$S151),'Lista de Preços'!$S151&lt;TODAY()),"ERRO","OK"),"")</f>
        <v/>
      </c>
      <c r="G162" s="27" t="str">
        <f aca="false">IF(COUNTA('Lista de Preços'!$A151:$W151)&gt;0,IF(AND('Lista de Preços'!$A151&lt;&gt;"",COUNTIF('Lista de Preços'!$A$4:$A$503,'Lista de Preços'!$A151)&gt;1),"ERRO","OK"),"")</f>
        <v/>
      </c>
      <c r="H162" s="27" t="str">
        <f aca="false">IF(COUNTA('Lista de Preços'!$A151:$W151)&gt;0,IF(AND('Lista de Preços'!$N151&lt;&gt;"",ISNUMBER('Lista de Preços'!$N151),OR('Lista de Preços'!$N151&lt;0,'Lista de Preços'!$N151&gt;0.5)),"ERRO","OK"),"")</f>
        <v/>
      </c>
      <c r="I162" s="27" t="str">
        <f aca="false">IF(COUNTA('Lista de Preços'!$A151:$W151)&gt;0,IF(OR($C162="ERRO",$D162="ERRO",$E162="ERRO",$F162="ERRO",$G162="ERRO",$H162="ERRO"),"FALHA","OK"),"")</f>
        <v/>
      </c>
    </row>
    <row r="163" customFormat="false" ht="15" hidden="false" customHeight="false" outlineLevel="0" collapsed="false">
      <c r="A163" s="26" t="n">
        <f aca="false">'Lista de Preços'!$A152</f>
        <v>0</v>
      </c>
      <c r="B163" s="26" t="n">
        <f aca="false">'Lista de Preços'!$B152</f>
        <v>0</v>
      </c>
      <c r="C163" s="27" t="str">
        <f aca="false">IF(COUNTA('Lista de Preços'!$A152:$W152)&gt;0,IF((COUNTBLANK('Lista de Preços'!$A152)+COUNTBLANK('Lista de Preços'!$B152)+COUNTBLANK('Lista de Preços'!$C152)+COUNTBLANK('Lista de Preços'!$D152)+COUNTBLANK('Lista de Preços'!$E152)+COUNTBLANK('Lista de Preços'!$F152)+COUNTBLANK('Lista de Preços'!$L152)+COUNTBLANK('Lista de Preços'!$M152)+COUNTBLANK('Lista de Preços'!$P152)+COUNTBLANK('Lista de Preços'!$U152)+COUNTBLANK('Lista de Preços'!$V152))&gt;0,"ERRO","OK"),"")</f>
        <v/>
      </c>
      <c r="D163" s="27" t="str">
        <f aca="false">IF(COUNTA('Lista de Preços'!$A152:$W152)&gt;0,IF(OR(AND('Lista de Preços'!$L152&lt;&gt;"",NOT(ISNUMBER('Lista de Preços'!$L152))),AND('Lista de Preços'!$M152&lt;&gt;"",NOT(ISNUMBER('Lista de Preços'!$M152)))),"ERRO","OK"),"")</f>
        <v/>
      </c>
      <c r="E163" s="27" t="str">
        <f aca="false">IF(COUNTA('Lista de Preços'!$A152:$W152)&gt;0,IF(AND(ISNUMBER('Lista de Preços'!$L152),ISNUMBER('Lista de Preços'!$M152),'Lista de Preços'!$L152&gt;'Lista de Preços'!$M152),"ERRO","OK"),"")</f>
        <v/>
      </c>
      <c r="F163" s="27" t="str">
        <f aca="true">IF(COUNTA('Lista de Preços'!$A152:$W152)&gt;0,IF(AND('Lista de Preços'!$S152&lt;&gt;"",ISNUMBER('Lista de Preços'!$S152),'Lista de Preços'!$S152&lt;TODAY()),"ERRO","OK"),"")</f>
        <v/>
      </c>
      <c r="G163" s="27" t="str">
        <f aca="false">IF(COUNTA('Lista de Preços'!$A152:$W152)&gt;0,IF(AND('Lista de Preços'!$A152&lt;&gt;"",COUNTIF('Lista de Preços'!$A$4:$A$503,'Lista de Preços'!$A152)&gt;1),"ERRO","OK"),"")</f>
        <v/>
      </c>
      <c r="H163" s="27" t="str">
        <f aca="false">IF(COUNTA('Lista de Preços'!$A152:$W152)&gt;0,IF(AND('Lista de Preços'!$N152&lt;&gt;"",ISNUMBER('Lista de Preços'!$N152),OR('Lista de Preços'!$N152&lt;0,'Lista de Preços'!$N152&gt;0.5)),"ERRO","OK"),"")</f>
        <v/>
      </c>
      <c r="I163" s="27" t="str">
        <f aca="false">IF(COUNTA('Lista de Preços'!$A152:$W152)&gt;0,IF(OR($C163="ERRO",$D163="ERRO",$E163="ERRO",$F163="ERRO",$G163="ERRO",$H163="ERRO"),"FALHA","OK"),"")</f>
        <v/>
      </c>
    </row>
    <row r="164" customFormat="false" ht="15" hidden="false" customHeight="false" outlineLevel="0" collapsed="false">
      <c r="A164" s="26" t="n">
        <f aca="false">'Lista de Preços'!$A153</f>
        <v>0</v>
      </c>
      <c r="B164" s="26" t="n">
        <f aca="false">'Lista de Preços'!$B153</f>
        <v>0</v>
      </c>
      <c r="C164" s="27" t="str">
        <f aca="false">IF(COUNTA('Lista de Preços'!$A153:$W153)&gt;0,IF((COUNTBLANK('Lista de Preços'!$A153)+COUNTBLANK('Lista de Preços'!$B153)+COUNTBLANK('Lista de Preços'!$C153)+COUNTBLANK('Lista de Preços'!$D153)+COUNTBLANK('Lista de Preços'!$E153)+COUNTBLANK('Lista de Preços'!$F153)+COUNTBLANK('Lista de Preços'!$L153)+COUNTBLANK('Lista de Preços'!$M153)+COUNTBLANK('Lista de Preços'!$P153)+COUNTBLANK('Lista de Preços'!$U153)+COUNTBLANK('Lista de Preços'!$V153))&gt;0,"ERRO","OK"),"")</f>
        <v/>
      </c>
      <c r="D164" s="27" t="str">
        <f aca="false">IF(COUNTA('Lista de Preços'!$A153:$W153)&gt;0,IF(OR(AND('Lista de Preços'!$L153&lt;&gt;"",NOT(ISNUMBER('Lista de Preços'!$L153))),AND('Lista de Preços'!$M153&lt;&gt;"",NOT(ISNUMBER('Lista de Preços'!$M153)))),"ERRO","OK"),"")</f>
        <v/>
      </c>
      <c r="E164" s="27" t="str">
        <f aca="false">IF(COUNTA('Lista de Preços'!$A153:$W153)&gt;0,IF(AND(ISNUMBER('Lista de Preços'!$L153),ISNUMBER('Lista de Preços'!$M153),'Lista de Preços'!$L153&gt;'Lista de Preços'!$M153),"ERRO","OK"),"")</f>
        <v/>
      </c>
      <c r="F164" s="27" t="str">
        <f aca="true">IF(COUNTA('Lista de Preços'!$A153:$W153)&gt;0,IF(AND('Lista de Preços'!$S153&lt;&gt;"",ISNUMBER('Lista de Preços'!$S153),'Lista de Preços'!$S153&lt;TODAY()),"ERRO","OK"),"")</f>
        <v/>
      </c>
      <c r="G164" s="27" t="str">
        <f aca="false">IF(COUNTA('Lista de Preços'!$A153:$W153)&gt;0,IF(AND('Lista de Preços'!$A153&lt;&gt;"",COUNTIF('Lista de Preços'!$A$4:$A$503,'Lista de Preços'!$A153)&gt;1),"ERRO","OK"),"")</f>
        <v/>
      </c>
      <c r="H164" s="27" t="str">
        <f aca="false">IF(COUNTA('Lista de Preços'!$A153:$W153)&gt;0,IF(AND('Lista de Preços'!$N153&lt;&gt;"",ISNUMBER('Lista de Preços'!$N153),OR('Lista de Preços'!$N153&lt;0,'Lista de Preços'!$N153&gt;0.5)),"ERRO","OK"),"")</f>
        <v/>
      </c>
      <c r="I164" s="27" t="str">
        <f aca="false">IF(COUNTA('Lista de Preços'!$A153:$W153)&gt;0,IF(OR($C164="ERRO",$D164="ERRO",$E164="ERRO",$F164="ERRO",$G164="ERRO",$H164="ERRO"),"FALHA","OK"),"")</f>
        <v/>
      </c>
    </row>
    <row r="165" customFormat="false" ht="15" hidden="false" customHeight="false" outlineLevel="0" collapsed="false">
      <c r="A165" s="26" t="n">
        <f aca="false">'Lista de Preços'!$A154</f>
        <v>0</v>
      </c>
      <c r="B165" s="26" t="n">
        <f aca="false">'Lista de Preços'!$B154</f>
        <v>0</v>
      </c>
      <c r="C165" s="27" t="str">
        <f aca="false">IF(COUNTA('Lista de Preços'!$A154:$W154)&gt;0,IF((COUNTBLANK('Lista de Preços'!$A154)+COUNTBLANK('Lista de Preços'!$B154)+COUNTBLANK('Lista de Preços'!$C154)+COUNTBLANK('Lista de Preços'!$D154)+COUNTBLANK('Lista de Preços'!$E154)+COUNTBLANK('Lista de Preços'!$F154)+COUNTBLANK('Lista de Preços'!$L154)+COUNTBLANK('Lista de Preços'!$M154)+COUNTBLANK('Lista de Preços'!$P154)+COUNTBLANK('Lista de Preços'!$U154)+COUNTBLANK('Lista de Preços'!$V154))&gt;0,"ERRO","OK"),"")</f>
        <v/>
      </c>
      <c r="D165" s="27" t="str">
        <f aca="false">IF(COUNTA('Lista de Preços'!$A154:$W154)&gt;0,IF(OR(AND('Lista de Preços'!$L154&lt;&gt;"",NOT(ISNUMBER('Lista de Preços'!$L154))),AND('Lista de Preços'!$M154&lt;&gt;"",NOT(ISNUMBER('Lista de Preços'!$M154)))),"ERRO","OK"),"")</f>
        <v/>
      </c>
      <c r="E165" s="27" t="str">
        <f aca="false">IF(COUNTA('Lista de Preços'!$A154:$W154)&gt;0,IF(AND(ISNUMBER('Lista de Preços'!$L154),ISNUMBER('Lista de Preços'!$M154),'Lista de Preços'!$L154&gt;'Lista de Preços'!$M154),"ERRO","OK"),"")</f>
        <v/>
      </c>
      <c r="F165" s="27" t="str">
        <f aca="true">IF(COUNTA('Lista de Preços'!$A154:$W154)&gt;0,IF(AND('Lista de Preços'!$S154&lt;&gt;"",ISNUMBER('Lista de Preços'!$S154),'Lista de Preços'!$S154&lt;TODAY()),"ERRO","OK"),"")</f>
        <v/>
      </c>
      <c r="G165" s="27" t="str">
        <f aca="false">IF(COUNTA('Lista de Preços'!$A154:$W154)&gt;0,IF(AND('Lista de Preços'!$A154&lt;&gt;"",COUNTIF('Lista de Preços'!$A$4:$A$503,'Lista de Preços'!$A154)&gt;1),"ERRO","OK"),"")</f>
        <v/>
      </c>
      <c r="H165" s="27" t="str">
        <f aca="false">IF(COUNTA('Lista de Preços'!$A154:$W154)&gt;0,IF(AND('Lista de Preços'!$N154&lt;&gt;"",ISNUMBER('Lista de Preços'!$N154),OR('Lista de Preços'!$N154&lt;0,'Lista de Preços'!$N154&gt;0.5)),"ERRO","OK"),"")</f>
        <v/>
      </c>
      <c r="I165" s="27" t="str">
        <f aca="false">IF(COUNTA('Lista de Preços'!$A154:$W154)&gt;0,IF(OR($C165="ERRO",$D165="ERRO",$E165="ERRO",$F165="ERRO",$G165="ERRO",$H165="ERRO"),"FALHA","OK"),"")</f>
        <v/>
      </c>
    </row>
    <row r="166" customFormat="false" ht="15" hidden="false" customHeight="false" outlineLevel="0" collapsed="false">
      <c r="A166" s="26" t="n">
        <f aca="false">'Lista de Preços'!$A155</f>
        <v>0</v>
      </c>
      <c r="B166" s="26" t="n">
        <f aca="false">'Lista de Preços'!$B155</f>
        <v>0</v>
      </c>
      <c r="C166" s="27" t="str">
        <f aca="false">IF(COUNTA('Lista de Preços'!$A155:$W155)&gt;0,IF((COUNTBLANK('Lista de Preços'!$A155)+COUNTBLANK('Lista de Preços'!$B155)+COUNTBLANK('Lista de Preços'!$C155)+COUNTBLANK('Lista de Preços'!$D155)+COUNTBLANK('Lista de Preços'!$E155)+COUNTBLANK('Lista de Preços'!$F155)+COUNTBLANK('Lista de Preços'!$L155)+COUNTBLANK('Lista de Preços'!$M155)+COUNTBLANK('Lista de Preços'!$P155)+COUNTBLANK('Lista de Preços'!$U155)+COUNTBLANK('Lista de Preços'!$V155))&gt;0,"ERRO","OK"),"")</f>
        <v/>
      </c>
      <c r="D166" s="27" t="str">
        <f aca="false">IF(COUNTA('Lista de Preços'!$A155:$W155)&gt;0,IF(OR(AND('Lista de Preços'!$L155&lt;&gt;"",NOT(ISNUMBER('Lista de Preços'!$L155))),AND('Lista de Preços'!$M155&lt;&gt;"",NOT(ISNUMBER('Lista de Preços'!$M155)))),"ERRO","OK"),"")</f>
        <v/>
      </c>
      <c r="E166" s="27" t="str">
        <f aca="false">IF(COUNTA('Lista de Preços'!$A155:$W155)&gt;0,IF(AND(ISNUMBER('Lista de Preços'!$L155),ISNUMBER('Lista de Preços'!$M155),'Lista de Preços'!$L155&gt;'Lista de Preços'!$M155),"ERRO","OK"),"")</f>
        <v/>
      </c>
      <c r="F166" s="27" t="str">
        <f aca="true">IF(COUNTA('Lista de Preços'!$A155:$W155)&gt;0,IF(AND('Lista de Preços'!$S155&lt;&gt;"",ISNUMBER('Lista de Preços'!$S155),'Lista de Preços'!$S155&lt;TODAY()),"ERRO","OK"),"")</f>
        <v/>
      </c>
      <c r="G166" s="27" t="str">
        <f aca="false">IF(COUNTA('Lista de Preços'!$A155:$W155)&gt;0,IF(AND('Lista de Preços'!$A155&lt;&gt;"",COUNTIF('Lista de Preços'!$A$4:$A$503,'Lista de Preços'!$A155)&gt;1),"ERRO","OK"),"")</f>
        <v/>
      </c>
      <c r="H166" s="27" t="str">
        <f aca="false">IF(COUNTA('Lista de Preços'!$A155:$W155)&gt;0,IF(AND('Lista de Preços'!$N155&lt;&gt;"",ISNUMBER('Lista de Preços'!$N155),OR('Lista de Preços'!$N155&lt;0,'Lista de Preços'!$N155&gt;0.5)),"ERRO","OK"),"")</f>
        <v/>
      </c>
      <c r="I166" s="27" t="str">
        <f aca="false">IF(COUNTA('Lista de Preços'!$A155:$W155)&gt;0,IF(OR($C166="ERRO",$D166="ERRO",$E166="ERRO",$F166="ERRO",$G166="ERRO",$H166="ERRO"),"FALHA","OK"),"")</f>
        <v/>
      </c>
    </row>
    <row r="167" customFormat="false" ht="15" hidden="false" customHeight="false" outlineLevel="0" collapsed="false">
      <c r="A167" s="26" t="n">
        <f aca="false">'Lista de Preços'!$A156</f>
        <v>0</v>
      </c>
      <c r="B167" s="26" t="n">
        <f aca="false">'Lista de Preços'!$B156</f>
        <v>0</v>
      </c>
      <c r="C167" s="27" t="str">
        <f aca="false">IF(COUNTA('Lista de Preços'!$A156:$W156)&gt;0,IF((COUNTBLANK('Lista de Preços'!$A156)+COUNTBLANK('Lista de Preços'!$B156)+COUNTBLANK('Lista de Preços'!$C156)+COUNTBLANK('Lista de Preços'!$D156)+COUNTBLANK('Lista de Preços'!$E156)+COUNTBLANK('Lista de Preços'!$F156)+COUNTBLANK('Lista de Preços'!$L156)+COUNTBLANK('Lista de Preços'!$M156)+COUNTBLANK('Lista de Preços'!$P156)+COUNTBLANK('Lista de Preços'!$U156)+COUNTBLANK('Lista de Preços'!$V156))&gt;0,"ERRO","OK"),"")</f>
        <v/>
      </c>
      <c r="D167" s="27" t="str">
        <f aca="false">IF(COUNTA('Lista de Preços'!$A156:$W156)&gt;0,IF(OR(AND('Lista de Preços'!$L156&lt;&gt;"",NOT(ISNUMBER('Lista de Preços'!$L156))),AND('Lista de Preços'!$M156&lt;&gt;"",NOT(ISNUMBER('Lista de Preços'!$M156)))),"ERRO","OK"),"")</f>
        <v/>
      </c>
      <c r="E167" s="27" t="str">
        <f aca="false">IF(COUNTA('Lista de Preços'!$A156:$W156)&gt;0,IF(AND(ISNUMBER('Lista de Preços'!$L156),ISNUMBER('Lista de Preços'!$M156),'Lista de Preços'!$L156&gt;'Lista de Preços'!$M156),"ERRO","OK"),"")</f>
        <v/>
      </c>
      <c r="F167" s="27" t="str">
        <f aca="true">IF(COUNTA('Lista de Preços'!$A156:$W156)&gt;0,IF(AND('Lista de Preços'!$S156&lt;&gt;"",ISNUMBER('Lista de Preços'!$S156),'Lista de Preços'!$S156&lt;TODAY()),"ERRO","OK"),"")</f>
        <v/>
      </c>
      <c r="G167" s="27" t="str">
        <f aca="false">IF(COUNTA('Lista de Preços'!$A156:$W156)&gt;0,IF(AND('Lista de Preços'!$A156&lt;&gt;"",COUNTIF('Lista de Preços'!$A$4:$A$503,'Lista de Preços'!$A156)&gt;1),"ERRO","OK"),"")</f>
        <v/>
      </c>
      <c r="H167" s="27" t="str">
        <f aca="false">IF(COUNTA('Lista de Preços'!$A156:$W156)&gt;0,IF(AND('Lista de Preços'!$N156&lt;&gt;"",ISNUMBER('Lista de Preços'!$N156),OR('Lista de Preços'!$N156&lt;0,'Lista de Preços'!$N156&gt;0.5)),"ERRO","OK"),"")</f>
        <v/>
      </c>
      <c r="I167" s="27" t="str">
        <f aca="false">IF(COUNTA('Lista de Preços'!$A156:$W156)&gt;0,IF(OR($C167="ERRO",$D167="ERRO",$E167="ERRO",$F167="ERRO",$G167="ERRO",$H167="ERRO"),"FALHA","OK"),"")</f>
        <v/>
      </c>
    </row>
    <row r="168" customFormat="false" ht="15" hidden="false" customHeight="false" outlineLevel="0" collapsed="false">
      <c r="A168" s="26" t="n">
        <f aca="false">'Lista de Preços'!$A157</f>
        <v>0</v>
      </c>
      <c r="B168" s="26" t="n">
        <f aca="false">'Lista de Preços'!$B157</f>
        <v>0</v>
      </c>
      <c r="C168" s="27" t="str">
        <f aca="false">IF(COUNTA('Lista de Preços'!$A157:$W157)&gt;0,IF((COUNTBLANK('Lista de Preços'!$A157)+COUNTBLANK('Lista de Preços'!$B157)+COUNTBLANK('Lista de Preços'!$C157)+COUNTBLANK('Lista de Preços'!$D157)+COUNTBLANK('Lista de Preços'!$E157)+COUNTBLANK('Lista de Preços'!$F157)+COUNTBLANK('Lista de Preços'!$L157)+COUNTBLANK('Lista de Preços'!$M157)+COUNTBLANK('Lista de Preços'!$P157)+COUNTBLANK('Lista de Preços'!$U157)+COUNTBLANK('Lista de Preços'!$V157))&gt;0,"ERRO","OK"),"")</f>
        <v/>
      </c>
      <c r="D168" s="27" t="str">
        <f aca="false">IF(COUNTA('Lista de Preços'!$A157:$W157)&gt;0,IF(OR(AND('Lista de Preços'!$L157&lt;&gt;"",NOT(ISNUMBER('Lista de Preços'!$L157))),AND('Lista de Preços'!$M157&lt;&gt;"",NOT(ISNUMBER('Lista de Preços'!$M157)))),"ERRO","OK"),"")</f>
        <v/>
      </c>
      <c r="E168" s="27" t="str">
        <f aca="false">IF(COUNTA('Lista de Preços'!$A157:$W157)&gt;0,IF(AND(ISNUMBER('Lista de Preços'!$L157),ISNUMBER('Lista de Preços'!$M157),'Lista de Preços'!$L157&gt;'Lista de Preços'!$M157),"ERRO","OK"),"")</f>
        <v/>
      </c>
      <c r="F168" s="27" t="str">
        <f aca="true">IF(COUNTA('Lista de Preços'!$A157:$W157)&gt;0,IF(AND('Lista de Preços'!$S157&lt;&gt;"",ISNUMBER('Lista de Preços'!$S157),'Lista de Preços'!$S157&lt;TODAY()),"ERRO","OK"),"")</f>
        <v/>
      </c>
      <c r="G168" s="27" t="str">
        <f aca="false">IF(COUNTA('Lista de Preços'!$A157:$W157)&gt;0,IF(AND('Lista de Preços'!$A157&lt;&gt;"",COUNTIF('Lista de Preços'!$A$4:$A$503,'Lista de Preços'!$A157)&gt;1),"ERRO","OK"),"")</f>
        <v/>
      </c>
      <c r="H168" s="27" t="str">
        <f aca="false">IF(COUNTA('Lista de Preços'!$A157:$W157)&gt;0,IF(AND('Lista de Preços'!$N157&lt;&gt;"",ISNUMBER('Lista de Preços'!$N157),OR('Lista de Preços'!$N157&lt;0,'Lista de Preços'!$N157&gt;0.5)),"ERRO","OK"),"")</f>
        <v/>
      </c>
      <c r="I168" s="27" t="str">
        <f aca="false">IF(COUNTA('Lista de Preços'!$A157:$W157)&gt;0,IF(OR($C168="ERRO",$D168="ERRO",$E168="ERRO",$F168="ERRO",$G168="ERRO",$H168="ERRO"),"FALHA","OK"),"")</f>
        <v/>
      </c>
    </row>
    <row r="169" customFormat="false" ht="15" hidden="false" customHeight="false" outlineLevel="0" collapsed="false">
      <c r="A169" s="26" t="n">
        <f aca="false">'Lista de Preços'!$A158</f>
        <v>0</v>
      </c>
      <c r="B169" s="26" t="n">
        <f aca="false">'Lista de Preços'!$B158</f>
        <v>0</v>
      </c>
      <c r="C169" s="27" t="str">
        <f aca="false">IF(COUNTA('Lista de Preços'!$A158:$W158)&gt;0,IF((COUNTBLANK('Lista de Preços'!$A158)+COUNTBLANK('Lista de Preços'!$B158)+COUNTBLANK('Lista de Preços'!$C158)+COUNTBLANK('Lista de Preços'!$D158)+COUNTBLANK('Lista de Preços'!$E158)+COUNTBLANK('Lista de Preços'!$F158)+COUNTBLANK('Lista de Preços'!$L158)+COUNTBLANK('Lista de Preços'!$M158)+COUNTBLANK('Lista de Preços'!$P158)+COUNTBLANK('Lista de Preços'!$U158)+COUNTBLANK('Lista de Preços'!$V158))&gt;0,"ERRO","OK"),"")</f>
        <v/>
      </c>
      <c r="D169" s="27" t="str">
        <f aca="false">IF(COUNTA('Lista de Preços'!$A158:$W158)&gt;0,IF(OR(AND('Lista de Preços'!$L158&lt;&gt;"",NOT(ISNUMBER('Lista de Preços'!$L158))),AND('Lista de Preços'!$M158&lt;&gt;"",NOT(ISNUMBER('Lista de Preços'!$M158)))),"ERRO","OK"),"")</f>
        <v/>
      </c>
      <c r="E169" s="27" t="str">
        <f aca="false">IF(COUNTA('Lista de Preços'!$A158:$W158)&gt;0,IF(AND(ISNUMBER('Lista de Preços'!$L158),ISNUMBER('Lista de Preços'!$M158),'Lista de Preços'!$L158&gt;'Lista de Preços'!$M158),"ERRO","OK"),"")</f>
        <v/>
      </c>
      <c r="F169" s="27" t="str">
        <f aca="true">IF(COUNTA('Lista de Preços'!$A158:$W158)&gt;0,IF(AND('Lista de Preços'!$S158&lt;&gt;"",ISNUMBER('Lista de Preços'!$S158),'Lista de Preços'!$S158&lt;TODAY()),"ERRO","OK"),"")</f>
        <v/>
      </c>
      <c r="G169" s="27" t="str">
        <f aca="false">IF(COUNTA('Lista de Preços'!$A158:$W158)&gt;0,IF(AND('Lista de Preços'!$A158&lt;&gt;"",COUNTIF('Lista de Preços'!$A$4:$A$503,'Lista de Preços'!$A158)&gt;1),"ERRO","OK"),"")</f>
        <v/>
      </c>
      <c r="H169" s="27" t="str">
        <f aca="false">IF(COUNTA('Lista de Preços'!$A158:$W158)&gt;0,IF(AND('Lista de Preços'!$N158&lt;&gt;"",ISNUMBER('Lista de Preços'!$N158),OR('Lista de Preços'!$N158&lt;0,'Lista de Preços'!$N158&gt;0.5)),"ERRO","OK"),"")</f>
        <v/>
      </c>
      <c r="I169" s="27" t="str">
        <f aca="false">IF(COUNTA('Lista de Preços'!$A158:$W158)&gt;0,IF(OR($C169="ERRO",$D169="ERRO",$E169="ERRO",$F169="ERRO",$G169="ERRO",$H169="ERRO"),"FALHA","OK"),"")</f>
        <v/>
      </c>
    </row>
    <row r="170" customFormat="false" ht="15" hidden="false" customHeight="false" outlineLevel="0" collapsed="false">
      <c r="A170" s="26" t="n">
        <f aca="false">'Lista de Preços'!$A159</f>
        <v>0</v>
      </c>
      <c r="B170" s="26" t="n">
        <f aca="false">'Lista de Preços'!$B159</f>
        <v>0</v>
      </c>
      <c r="C170" s="27" t="str">
        <f aca="false">IF(COUNTA('Lista de Preços'!$A159:$W159)&gt;0,IF((COUNTBLANK('Lista de Preços'!$A159)+COUNTBLANK('Lista de Preços'!$B159)+COUNTBLANK('Lista de Preços'!$C159)+COUNTBLANK('Lista de Preços'!$D159)+COUNTBLANK('Lista de Preços'!$E159)+COUNTBLANK('Lista de Preços'!$F159)+COUNTBLANK('Lista de Preços'!$L159)+COUNTBLANK('Lista de Preços'!$M159)+COUNTBLANK('Lista de Preços'!$P159)+COUNTBLANK('Lista de Preços'!$U159)+COUNTBLANK('Lista de Preços'!$V159))&gt;0,"ERRO","OK"),"")</f>
        <v/>
      </c>
      <c r="D170" s="27" t="str">
        <f aca="false">IF(COUNTA('Lista de Preços'!$A159:$W159)&gt;0,IF(OR(AND('Lista de Preços'!$L159&lt;&gt;"",NOT(ISNUMBER('Lista de Preços'!$L159))),AND('Lista de Preços'!$M159&lt;&gt;"",NOT(ISNUMBER('Lista de Preços'!$M159)))),"ERRO","OK"),"")</f>
        <v/>
      </c>
      <c r="E170" s="27" t="str">
        <f aca="false">IF(COUNTA('Lista de Preços'!$A159:$W159)&gt;0,IF(AND(ISNUMBER('Lista de Preços'!$L159),ISNUMBER('Lista de Preços'!$M159),'Lista de Preços'!$L159&gt;'Lista de Preços'!$M159),"ERRO","OK"),"")</f>
        <v/>
      </c>
      <c r="F170" s="27" t="str">
        <f aca="true">IF(COUNTA('Lista de Preços'!$A159:$W159)&gt;0,IF(AND('Lista de Preços'!$S159&lt;&gt;"",ISNUMBER('Lista de Preços'!$S159),'Lista de Preços'!$S159&lt;TODAY()),"ERRO","OK"),"")</f>
        <v/>
      </c>
      <c r="G170" s="27" t="str">
        <f aca="false">IF(COUNTA('Lista de Preços'!$A159:$W159)&gt;0,IF(AND('Lista de Preços'!$A159&lt;&gt;"",COUNTIF('Lista de Preços'!$A$4:$A$503,'Lista de Preços'!$A159)&gt;1),"ERRO","OK"),"")</f>
        <v/>
      </c>
      <c r="H170" s="27" t="str">
        <f aca="false">IF(COUNTA('Lista de Preços'!$A159:$W159)&gt;0,IF(AND('Lista de Preços'!$N159&lt;&gt;"",ISNUMBER('Lista de Preços'!$N159),OR('Lista de Preços'!$N159&lt;0,'Lista de Preços'!$N159&gt;0.5)),"ERRO","OK"),"")</f>
        <v/>
      </c>
      <c r="I170" s="27" t="str">
        <f aca="false">IF(COUNTA('Lista de Preços'!$A159:$W159)&gt;0,IF(OR($C170="ERRO",$D170="ERRO",$E170="ERRO",$F170="ERRO",$G170="ERRO",$H170="ERRO"),"FALHA","OK"),"")</f>
        <v/>
      </c>
    </row>
    <row r="171" customFormat="false" ht="15" hidden="false" customHeight="false" outlineLevel="0" collapsed="false">
      <c r="A171" s="26" t="n">
        <f aca="false">'Lista de Preços'!$A160</f>
        <v>0</v>
      </c>
      <c r="B171" s="26" t="n">
        <f aca="false">'Lista de Preços'!$B160</f>
        <v>0</v>
      </c>
      <c r="C171" s="27" t="str">
        <f aca="false">IF(COUNTA('Lista de Preços'!$A160:$W160)&gt;0,IF((COUNTBLANK('Lista de Preços'!$A160)+COUNTBLANK('Lista de Preços'!$B160)+COUNTBLANK('Lista de Preços'!$C160)+COUNTBLANK('Lista de Preços'!$D160)+COUNTBLANK('Lista de Preços'!$E160)+COUNTBLANK('Lista de Preços'!$F160)+COUNTBLANK('Lista de Preços'!$L160)+COUNTBLANK('Lista de Preços'!$M160)+COUNTBLANK('Lista de Preços'!$P160)+COUNTBLANK('Lista de Preços'!$U160)+COUNTBLANK('Lista de Preços'!$V160))&gt;0,"ERRO","OK"),"")</f>
        <v/>
      </c>
      <c r="D171" s="27" t="str">
        <f aca="false">IF(COUNTA('Lista de Preços'!$A160:$W160)&gt;0,IF(OR(AND('Lista de Preços'!$L160&lt;&gt;"",NOT(ISNUMBER('Lista de Preços'!$L160))),AND('Lista de Preços'!$M160&lt;&gt;"",NOT(ISNUMBER('Lista de Preços'!$M160)))),"ERRO","OK"),"")</f>
        <v/>
      </c>
      <c r="E171" s="27" t="str">
        <f aca="false">IF(COUNTA('Lista de Preços'!$A160:$W160)&gt;0,IF(AND(ISNUMBER('Lista de Preços'!$L160),ISNUMBER('Lista de Preços'!$M160),'Lista de Preços'!$L160&gt;'Lista de Preços'!$M160),"ERRO","OK"),"")</f>
        <v/>
      </c>
      <c r="F171" s="27" t="str">
        <f aca="true">IF(COUNTA('Lista de Preços'!$A160:$W160)&gt;0,IF(AND('Lista de Preços'!$S160&lt;&gt;"",ISNUMBER('Lista de Preços'!$S160),'Lista de Preços'!$S160&lt;TODAY()),"ERRO","OK"),"")</f>
        <v/>
      </c>
      <c r="G171" s="27" t="str">
        <f aca="false">IF(COUNTA('Lista de Preços'!$A160:$W160)&gt;0,IF(AND('Lista de Preços'!$A160&lt;&gt;"",COUNTIF('Lista de Preços'!$A$4:$A$503,'Lista de Preços'!$A160)&gt;1),"ERRO","OK"),"")</f>
        <v/>
      </c>
      <c r="H171" s="27" t="str">
        <f aca="false">IF(COUNTA('Lista de Preços'!$A160:$W160)&gt;0,IF(AND('Lista de Preços'!$N160&lt;&gt;"",ISNUMBER('Lista de Preços'!$N160),OR('Lista de Preços'!$N160&lt;0,'Lista de Preços'!$N160&gt;0.5)),"ERRO","OK"),"")</f>
        <v/>
      </c>
      <c r="I171" s="27" t="str">
        <f aca="false">IF(COUNTA('Lista de Preços'!$A160:$W160)&gt;0,IF(OR($C171="ERRO",$D171="ERRO",$E171="ERRO",$F171="ERRO",$G171="ERRO",$H171="ERRO"),"FALHA","OK"),"")</f>
        <v/>
      </c>
    </row>
    <row r="172" customFormat="false" ht="15" hidden="false" customHeight="false" outlineLevel="0" collapsed="false">
      <c r="A172" s="26" t="n">
        <f aca="false">'Lista de Preços'!$A161</f>
        <v>0</v>
      </c>
      <c r="B172" s="26" t="n">
        <f aca="false">'Lista de Preços'!$B161</f>
        <v>0</v>
      </c>
      <c r="C172" s="27" t="str">
        <f aca="false">IF(COUNTA('Lista de Preços'!$A161:$W161)&gt;0,IF((COUNTBLANK('Lista de Preços'!$A161)+COUNTBLANK('Lista de Preços'!$B161)+COUNTBLANK('Lista de Preços'!$C161)+COUNTBLANK('Lista de Preços'!$D161)+COUNTBLANK('Lista de Preços'!$E161)+COUNTBLANK('Lista de Preços'!$F161)+COUNTBLANK('Lista de Preços'!$L161)+COUNTBLANK('Lista de Preços'!$M161)+COUNTBLANK('Lista de Preços'!$P161)+COUNTBLANK('Lista de Preços'!$U161)+COUNTBLANK('Lista de Preços'!$V161))&gt;0,"ERRO","OK"),"")</f>
        <v/>
      </c>
      <c r="D172" s="27" t="str">
        <f aca="false">IF(COUNTA('Lista de Preços'!$A161:$W161)&gt;0,IF(OR(AND('Lista de Preços'!$L161&lt;&gt;"",NOT(ISNUMBER('Lista de Preços'!$L161))),AND('Lista de Preços'!$M161&lt;&gt;"",NOT(ISNUMBER('Lista de Preços'!$M161)))),"ERRO","OK"),"")</f>
        <v/>
      </c>
      <c r="E172" s="27" t="str">
        <f aca="false">IF(COUNTA('Lista de Preços'!$A161:$W161)&gt;0,IF(AND(ISNUMBER('Lista de Preços'!$L161),ISNUMBER('Lista de Preços'!$M161),'Lista de Preços'!$L161&gt;'Lista de Preços'!$M161),"ERRO","OK"),"")</f>
        <v/>
      </c>
      <c r="F172" s="27" t="str">
        <f aca="true">IF(COUNTA('Lista de Preços'!$A161:$W161)&gt;0,IF(AND('Lista de Preços'!$S161&lt;&gt;"",ISNUMBER('Lista de Preços'!$S161),'Lista de Preços'!$S161&lt;TODAY()),"ERRO","OK"),"")</f>
        <v/>
      </c>
      <c r="G172" s="27" t="str">
        <f aca="false">IF(COUNTA('Lista de Preços'!$A161:$W161)&gt;0,IF(AND('Lista de Preços'!$A161&lt;&gt;"",COUNTIF('Lista de Preços'!$A$4:$A$503,'Lista de Preços'!$A161)&gt;1),"ERRO","OK"),"")</f>
        <v/>
      </c>
      <c r="H172" s="27" t="str">
        <f aca="false">IF(COUNTA('Lista de Preços'!$A161:$W161)&gt;0,IF(AND('Lista de Preços'!$N161&lt;&gt;"",ISNUMBER('Lista de Preços'!$N161),OR('Lista de Preços'!$N161&lt;0,'Lista de Preços'!$N161&gt;0.5)),"ERRO","OK"),"")</f>
        <v/>
      </c>
      <c r="I172" s="27" t="str">
        <f aca="false">IF(COUNTA('Lista de Preços'!$A161:$W161)&gt;0,IF(OR($C172="ERRO",$D172="ERRO",$E172="ERRO",$F172="ERRO",$G172="ERRO",$H172="ERRO"),"FALHA","OK"),"")</f>
        <v/>
      </c>
    </row>
    <row r="173" customFormat="false" ht="15" hidden="false" customHeight="false" outlineLevel="0" collapsed="false">
      <c r="A173" s="26" t="n">
        <f aca="false">'Lista de Preços'!$A162</f>
        <v>0</v>
      </c>
      <c r="B173" s="26" t="n">
        <f aca="false">'Lista de Preços'!$B162</f>
        <v>0</v>
      </c>
      <c r="C173" s="27" t="str">
        <f aca="false">IF(COUNTA('Lista de Preços'!$A162:$W162)&gt;0,IF((COUNTBLANK('Lista de Preços'!$A162)+COUNTBLANK('Lista de Preços'!$B162)+COUNTBLANK('Lista de Preços'!$C162)+COUNTBLANK('Lista de Preços'!$D162)+COUNTBLANK('Lista de Preços'!$E162)+COUNTBLANK('Lista de Preços'!$F162)+COUNTBLANK('Lista de Preços'!$L162)+COUNTBLANK('Lista de Preços'!$M162)+COUNTBLANK('Lista de Preços'!$P162)+COUNTBLANK('Lista de Preços'!$U162)+COUNTBLANK('Lista de Preços'!$V162))&gt;0,"ERRO","OK"),"")</f>
        <v/>
      </c>
      <c r="D173" s="27" t="str">
        <f aca="false">IF(COUNTA('Lista de Preços'!$A162:$W162)&gt;0,IF(OR(AND('Lista de Preços'!$L162&lt;&gt;"",NOT(ISNUMBER('Lista de Preços'!$L162))),AND('Lista de Preços'!$M162&lt;&gt;"",NOT(ISNUMBER('Lista de Preços'!$M162)))),"ERRO","OK"),"")</f>
        <v/>
      </c>
      <c r="E173" s="27" t="str">
        <f aca="false">IF(COUNTA('Lista de Preços'!$A162:$W162)&gt;0,IF(AND(ISNUMBER('Lista de Preços'!$L162),ISNUMBER('Lista de Preços'!$M162),'Lista de Preços'!$L162&gt;'Lista de Preços'!$M162),"ERRO","OK"),"")</f>
        <v/>
      </c>
      <c r="F173" s="27" t="str">
        <f aca="true">IF(COUNTA('Lista de Preços'!$A162:$W162)&gt;0,IF(AND('Lista de Preços'!$S162&lt;&gt;"",ISNUMBER('Lista de Preços'!$S162),'Lista de Preços'!$S162&lt;TODAY()),"ERRO","OK"),"")</f>
        <v/>
      </c>
      <c r="G173" s="27" t="str">
        <f aca="false">IF(COUNTA('Lista de Preços'!$A162:$W162)&gt;0,IF(AND('Lista de Preços'!$A162&lt;&gt;"",COUNTIF('Lista de Preços'!$A$4:$A$503,'Lista de Preços'!$A162)&gt;1),"ERRO","OK"),"")</f>
        <v/>
      </c>
      <c r="H173" s="27" t="str">
        <f aca="false">IF(COUNTA('Lista de Preços'!$A162:$W162)&gt;0,IF(AND('Lista de Preços'!$N162&lt;&gt;"",ISNUMBER('Lista de Preços'!$N162),OR('Lista de Preços'!$N162&lt;0,'Lista de Preços'!$N162&gt;0.5)),"ERRO","OK"),"")</f>
        <v/>
      </c>
      <c r="I173" s="27" t="str">
        <f aca="false">IF(COUNTA('Lista de Preços'!$A162:$W162)&gt;0,IF(OR($C173="ERRO",$D173="ERRO",$E173="ERRO",$F173="ERRO",$G173="ERRO",$H173="ERRO"),"FALHA","OK"),"")</f>
        <v/>
      </c>
    </row>
    <row r="174" customFormat="false" ht="15" hidden="false" customHeight="false" outlineLevel="0" collapsed="false">
      <c r="A174" s="26" t="n">
        <f aca="false">'Lista de Preços'!$A163</f>
        <v>0</v>
      </c>
      <c r="B174" s="26" t="n">
        <f aca="false">'Lista de Preços'!$B163</f>
        <v>0</v>
      </c>
      <c r="C174" s="27" t="str">
        <f aca="false">IF(COUNTA('Lista de Preços'!$A163:$W163)&gt;0,IF((COUNTBLANK('Lista de Preços'!$A163)+COUNTBLANK('Lista de Preços'!$B163)+COUNTBLANK('Lista de Preços'!$C163)+COUNTBLANK('Lista de Preços'!$D163)+COUNTBLANK('Lista de Preços'!$E163)+COUNTBLANK('Lista de Preços'!$F163)+COUNTBLANK('Lista de Preços'!$L163)+COUNTBLANK('Lista de Preços'!$M163)+COUNTBLANK('Lista de Preços'!$P163)+COUNTBLANK('Lista de Preços'!$U163)+COUNTBLANK('Lista de Preços'!$V163))&gt;0,"ERRO","OK"),"")</f>
        <v/>
      </c>
      <c r="D174" s="27" t="str">
        <f aca="false">IF(COUNTA('Lista de Preços'!$A163:$W163)&gt;0,IF(OR(AND('Lista de Preços'!$L163&lt;&gt;"",NOT(ISNUMBER('Lista de Preços'!$L163))),AND('Lista de Preços'!$M163&lt;&gt;"",NOT(ISNUMBER('Lista de Preços'!$M163)))),"ERRO","OK"),"")</f>
        <v/>
      </c>
      <c r="E174" s="27" t="str">
        <f aca="false">IF(COUNTA('Lista de Preços'!$A163:$W163)&gt;0,IF(AND(ISNUMBER('Lista de Preços'!$L163),ISNUMBER('Lista de Preços'!$M163),'Lista de Preços'!$L163&gt;'Lista de Preços'!$M163),"ERRO","OK"),"")</f>
        <v/>
      </c>
      <c r="F174" s="27" t="str">
        <f aca="true">IF(COUNTA('Lista de Preços'!$A163:$W163)&gt;0,IF(AND('Lista de Preços'!$S163&lt;&gt;"",ISNUMBER('Lista de Preços'!$S163),'Lista de Preços'!$S163&lt;TODAY()),"ERRO","OK"),"")</f>
        <v/>
      </c>
      <c r="G174" s="27" t="str">
        <f aca="false">IF(COUNTA('Lista de Preços'!$A163:$W163)&gt;0,IF(AND('Lista de Preços'!$A163&lt;&gt;"",COUNTIF('Lista de Preços'!$A$4:$A$503,'Lista de Preços'!$A163)&gt;1),"ERRO","OK"),"")</f>
        <v/>
      </c>
      <c r="H174" s="27" t="str">
        <f aca="false">IF(COUNTA('Lista de Preços'!$A163:$W163)&gt;0,IF(AND('Lista de Preços'!$N163&lt;&gt;"",ISNUMBER('Lista de Preços'!$N163),OR('Lista de Preços'!$N163&lt;0,'Lista de Preços'!$N163&gt;0.5)),"ERRO","OK"),"")</f>
        <v/>
      </c>
      <c r="I174" s="27" t="str">
        <f aca="false">IF(COUNTA('Lista de Preços'!$A163:$W163)&gt;0,IF(OR($C174="ERRO",$D174="ERRO",$E174="ERRO",$F174="ERRO",$G174="ERRO",$H174="ERRO"),"FALHA","OK"),"")</f>
        <v/>
      </c>
    </row>
    <row r="175" customFormat="false" ht="15" hidden="false" customHeight="false" outlineLevel="0" collapsed="false">
      <c r="A175" s="26" t="n">
        <f aca="false">'Lista de Preços'!$A164</f>
        <v>0</v>
      </c>
      <c r="B175" s="26" t="n">
        <f aca="false">'Lista de Preços'!$B164</f>
        <v>0</v>
      </c>
      <c r="C175" s="27" t="str">
        <f aca="false">IF(COUNTA('Lista de Preços'!$A164:$W164)&gt;0,IF((COUNTBLANK('Lista de Preços'!$A164)+COUNTBLANK('Lista de Preços'!$B164)+COUNTBLANK('Lista de Preços'!$C164)+COUNTBLANK('Lista de Preços'!$D164)+COUNTBLANK('Lista de Preços'!$E164)+COUNTBLANK('Lista de Preços'!$F164)+COUNTBLANK('Lista de Preços'!$L164)+COUNTBLANK('Lista de Preços'!$M164)+COUNTBLANK('Lista de Preços'!$P164)+COUNTBLANK('Lista de Preços'!$U164)+COUNTBLANK('Lista de Preços'!$V164))&gt;0,"ERRO","OK"),"")</f>
        <v/>
      </c>
      <c r="D175" s="27" t="str">
        <f aca="false">IF(COUNTA('Lista de Preços'!$A164:$W164)&gt;0,IF(OR(AND('Lista de Preços'!$L164&lt;&gt;"",NOT(ISNUMBER('Lista de Preços'!$L164))),AND('Lista de Preços'!$M164&lt;&gt;"",NOT(ISNUMBER('Lista de Preços'!$M164)))),"ERRO","OK"),"")</f>
        <v/>
      </c>
      <c r="E175" s="27" t="str">
        <f aca="false">IF(COUNTA('Lista de Preços'!$A164:$W164)&gt;0,IF(AND(ISNUMBER('Lista de Preços'!$L164),ISNUMBER('Lista de Preços'!$M164),'Lista de Preços'!$L164&gt;'Lista de Preços'!$M164),"ERRO","OK"),"")</f>
        <v/>
      </c>
      <c r="F175" s="27" t="str">
        <f aca="true">IF(COUNTA('Lista de Preços'!$A164:$W164)&gt;0,IF(AND('Lista de Preços'!$S164&lt;&gt;"",ISNUMBER('Lista de Preços'!$S164),'Lista de Preços'!$S164&lt;TODAY()),"ERRO","OK"),"")</f>
        <v/>
      </c>
      <c r="G175" s="27" t="str">
        <f aca="false">IF(COUNTA('Lista de Preços'!$A164:$W164)&gt;0,IF(AND('Lista de Preços'!$A164&lt;&gt;"",COUNTIF('Lista de Preços'!$A$4:$A$503,'Lista de Preços'!$A164)&gt;1),"ERRO","OK"),"")</f>
        <v/>
      </c>
      <c r="H175" s="27" t="str">
        <f aca="false">IF(COUNTA('Lista de Preços'!$A164:$W164)&gt;0,IF(AND('Lista de Preços'!$N164&lt;&gt;"",ISNUMBER('Lista de Preços'!$N164),OR('Lista de Preços'!$N164&lt;0,'Lista de Preços'!$N164&gt;0.5)),"ERRO","OK"),"")</f>
        <v/>
      </c>
      <c r="I175" s="27" t="str">
        <f aca="false">IF(COUNTA('Lista de Preços'!$A164:$W164)&gt;0,IF(OR($C175="ERRO",$D175="ERRO",$E175="ERRO",$F175="ERRO",$G175="ERRO",$H175="ERRO"),"FALHA","OK"),"")</f>
        <v/>
      </c>
    </row>
    <row r="176" customFormat="false" ht="15" hidden="false" customHeight="false" outlineLevel="0" collapsed="false">
      <c r="A176" s="26" t="n">
        <f aca="false">'Lista de Preços'!$A165</f>
        <v>0</v>
      </c>
      <c r="B176" s="26" t="n">
        <f aca="false">'Lista de Preços'!$B165</f>
        <v>0</v>
      </c>
      <c r="C176" s="27" t="str">
        <f aca="false">IF(COUNTA('Lista de Preços'!$A165:$W165)&gt;0,IF((COUNTBLANK('Lista de Preços'!$A165)+COUNTBLANK('Lista de Preços'!$B165)+COUNTBLANK('Lista de Preços'!$C165)+COUNTBLANK('Lista de Preços'!$D165)+COUNTBLANK('Lista de Preços'!$E165)+COUNTBLANK('Lista de Preços'!$F165)+COUNTBLANK('Lista de Preços'!$L165)+COUNTBLANK('Lista de Preços'!$M165)+COUNTBLANK('Lista de Preços'!$P165)+COUNTBLANK('Lista de Preços'!$U165)+COUNTBLANK('Lista de Preços'!$V165))&gt;0,"ERRO","OK"),"")</f>
        <v/>
      </c>
      <c r="D176" s="27" t="str">
        <f aca="false">IF(COUNTA('Lista de Preços'!$A165:$W165)&gt;0,IF(OR(AND('Lista de Preços'!$L165&lt;&gt;"",NOT(ISNUMBER('Lista de Preços'!$L165))),AND('Lista de Preços'!$M165&lt;&gt;"",NOT(ISNUMBER('Lista de Preços'!$M165)))),"ERRO","OK"),"")</f>
        <v/>
      </c>
      <c r="E176" s="27" t="str">
        <f aca="false">IF(COUNTA('Lista de Preços'!$A165:$W165)&gt;0,IF(AND(ISNUMBER('Lista de Preços'!$L165),ISNUMBER('Lista de Preços'!$M165),'Lista de Preços'!$L165&gt;'Lista de Preços'!$M165),"ERRO","OK"),"")</f>
        <v/>
      </c>
      <c r="F176" s="27" t="str">
        <f aca="true">IF(COUNTA('Lista de Preços'!$A165:$W165)&gt;0,IF(AND('Lista de Preços'!$S165&lt;&gt;"",ISNUMBER('Lista de Preços'!$S165),'Lista de Preços'!$S165&lt;TODAY()),"ERRO","OK"),"")</f>
        <v/>
      </c>
      <c r="G176" s="27" t="str">
        <f aca="false">IF(COUNTA('Lista de Preços'!$A165:$W165)&gt;0,IF(AND('Lista de Preços'!$A165&lt;&gt;"",COUNTIF('Lista de Preços'!$A$4:$A$503,'Lista de Preços'!$A165)&gt;1),"ERRO","OK"),"")</f>
        <v/>
      </c>
      <c r="H176" s="27" t="str">
        <f aca="false">IF(COUNTA('Lista de Preços'!$A165:$W165)&gt;0,IF(AND('Lista de Preços'!$N165&lt;&gt;"",ISNUMBER('Lista de Preços'!$N165),OR('Lista de Preços'!$N165&lt;0,'Lista de Preços'!$N165&gt;0.5)),"ERRO","OK"),"")</f>
        <v/>
      </c>
      <c r="I176" s="27" t="str">
        <f aca="false">IF(COUNTA('Lista de Preços'!$A165:$W165)&gt;0,IF(OR($C176="ERRO",$D176="ERRO",$E176="ERRO",$F176="ERRO",$G176="ERRO",$H176="ERRO"),"FALHA","OK"),"")</f>
        <v/>
      </c>
    </row>
    <row r="177" customFormat="false" ht="15" hidden="false" customHeight="false" outlineLevel="0" collapsed="false">
      <c r="A177" s="26" t="n">
        <f aca="false">'Lista de Preços'!$A166</f>
        <v>0</v>
      </c>
      <c r="B177" s="26" t="n">
        <f aca="false">'Lista de Preços'!$B166</f>
        <v>0</v>
      </c>
      <c r="C177" s="27" t="str">
        <f aca="false">IF(COUNTA('Lista de Preços'!$A166:$W166)&gt;0,IF((COUNTBLANK('Lista de Preços'!$A166)+COUNTBLANK('Lista de Preços'!$B166)+COUNTBLANK('Lista de Preços'!$C166)+COUNTBLANK('Lista de Preços'!$D166)+COUNTBLANK('Lista de Preços'!$E166)+COUNTBLANK('Lista de Preços'!$F166)+COUNTBLANK('Lista de Preços'!$L166)+COUNTBLANK('Lista de Preços'!$M166)+COUNTBLANK('Lista de Preços'!$P166)+COUNTBLANK('Lista de Preços'!$U166)+COUNTBLANK('Lista de Preços'!$V166))&gt;0,"ERRO","OK"),"")</f>
        <v/>
      </c>
      <c r="D177" s="27" t="str">
        <f aca="false">IF(COUNTA('Lista de Preços'!$A166:$W166)&gt;0,IF(OR(AND('Lista de Preços'!$L166&lt;&gt;"",NOT(ISNUMBER('Lista de Preços'!$L166))),AND('Lista de Preços'!$M166&lt;&gt;"",NOT(ISNUMBER('Lista de Preços'!$M166)))),"ERRO","OK"),"")</f>
        <v/>
      </c>
      <c r="E177" s="27" t="str">
        <f aca="false">IF(COUNTA('Lista de Preços'!$A166:$W166)&gt;0,IF(AND(ISNUMBER('Lista de Preços'!$L166),ISNUMBER('Lista de Preços'!$M166),'Lista de Preços'!$L166&gt;'Lista de Preços'!$M166),"ERRO","OK"),"")</f>
        <v/>
      </c>
      <c r="F177" s="27" t="str">
        <f aca="true">IF(COUNTA('Lista de Preços'!$A166:$W166)&gt;0,IF(AND('Lista de Preços'!$S166&lt;&gt;"",ISNUMBER('Lista de Preços'!$S166),'Lista de Preços'!$S166&lt;TODAY()),"ERRO","OK"),"")</f>
        <v/>
      </c>
      <c r="G177" s="27" t="str">
        <f aca="false">IF(COUNTA('Lista de Preços'!$A166:$W166)&gt;0,IF(AND('Lista de Preços'!$A166&lt;&gt;"",COUNTIF('Lista de Preços'!$A$4:$A$503,'Lista de Preços'!$A166)&gt;1),"ERRO","OK"),"")</f>
        <v/>
      </c>
      <c r="H177" s="27" t="str">
        <f aca="false">IF(COUNTA('Lista de Preços'!$A166:$W166)&gt;0,IF(AND('Lista de Preços'!$N166&lt;&gt;"",ISNUMBER('Lista de Preços'!$N166),OR('Lista de Preços'!$N166&lt;0,'Lista de Preços'!$N166&gt;0.5)),"ERRO","OK"),"")</f>
        <v/>
      </c>
      <c r="I177" s="27" t="str">
        <f aca="false">IF(COUNTA('Lista de Preços'!$A166:$W166)&gt;0,IF(OR($C177="ERRO",$D177="ERRO",$E177="ERRO",$F177="ERRO",$G177="ERRO",$H177="ERRO"),"FALHA","OK"),"")</f>
        <v/>
      </c>
    </row>
    <row r="178" customFormat="false" ht="15" hidden="false" customHeight="false" outlineLevel="0" collapsed="false">
      <c r="A178" s="26" t="n">
        <f aca="false">'Lista de Preços'!$A167</f>
        <v>0</v>
      </c>
      <c r="B178" s="26" t="n">
        <f aca="false">'Lista de Preços'!$B167</f>
        <v>0</v>
      </c>
      <c r="C178" s="27" t="str">
        <f aca="false">IF(COUNTA('Lista de Preços'!$A167:$W167)&gt;0,IF((COUNTBLANK('Lista de Preços'!$A167)+COUNTBLANK('Lista de Preços'!$B167)+COUNTBLANK('Lista de Preços'!$C167)+COUNTBLANK('Lista de Preços'!$D167)+COUNTBLANK('Lista de Preços'!$E167)+COUNTBLANK('Lista de Preços'!$F167)+COUNTBLANK('Lista de Preços'!$L167)+COUNTBLANK('Lista de Preços'!$M167)+COUNTBLANK('Lista de Preços'!$P167)+COUNTBLANK('Lista de Preços'!$U167)+COUNTBLANK('Lista de Preços'!$V167))&gt;0,"ERRO","OK"),"")</f>
        <v/>
      </c>
      <c r="D178" s="27" t="str">
        <f aca="false">IF(COUNTA('Lista de Preços'!$A167:$W167)&gt;0,IF(OR(AND('Lista de Preços'!$L167&lt;&gt;"",NOT(ISNUMBER('Lista de Preços'!$L167))),AND('Lista de Preços'!$M167&lt;&gt;"",NOT(ISNUMBER('Lista de Preços'!$M167)))),"ERRO","OK"),"")</f>
        <v/>
      </c>
      <c r="E178" s="27" t="str">
        <f aca="false">IF(COUNTA('Lista de Preços'!$A167:$W167)&gt;0,IF(AND(ISNUMBER('Lista de Preços'!$L167),ISNUMBER('Lista de Preços'!$M167),'Lista de Preços'!$L167&gt;'Lista de Preços'!$M167),"ERRO","OK"),"")</f>
        <v/>
      </c>
      <c r="F178" s="27" t="str">
        <f aca="true">IF(COUNTA('Lista de Preços'!$A167:$W167)&gt;0,IF(AND('Lista de Preços'!$S167&lt;&gt;"",ISNUMBER('Lista de Preços'!$S167),'Lista de Preços'!$S167&lt;TODAY()),"ERRO","OK"),"")</f>
        <v/>
      </c>
      <c r="G178" s="27" t="str">
        <f aca="false">IF(COUNTA('Lista de Preços'!$A167:$W167)&gt;0,IF(AND('Lista de Preços'!$A167&lt;&gt;"",COUNTIF('Lista de Preços'!$A$4:$A$503,'Lista de Preços'!$A167)&gt;1),"ERRO","OK"),"")</f>
        <v/>
      </c>
      <c r="H178" s="27" t="str">
        <f aca="false">IF(COUNTA('Lista de Preços'!$A167:$W167)&gt;0,IF(AND('Lista de Preços'!$N167&lt;&gt;"",ISNUMBER('Lista de Preços'!$N167),OR('Lista de Preços'!$N167&lt;0,'Lista de Preços'!$N167&gt;0.5)),"ERRO","OK"),"")</f>
        <v/>
      </c>
      <c r="I178" s="27" t="str">
        <f aca="false">IF(COUNTA('Lista de Preços'!$A167:$W167)&gt;0,IF(OR($C178="ERRO",$D178="ERRO",$E178="ERRO",$F178="ERRO",$G178="ERRO",$H178="ERRO"),"FALHA","OK"),"")</f>
        <v/>
      </c>
    </row>
    <row r="179" customFormat="false" ht="15" hidden="false" customHeight="false" outlineLevel="0" collapsed="false">
      <c r="A179" s="26" t="n">
        <f aca="false">'Lista de Preços'!$A168</f>
        <v>0</v>
      </c>
      <c r="B179" s="26" t="n">
        <f aca="false">'Lista de Preços'!$B168</f>
        <v>0</v>
      </c>
      <c r="C179" s="27" t="str">
        <f aca="false">IF(COUNTA('Lista de Preços'!$A168:$W168)&gt;0,IF((COUNTBLANK('Lista de Preços'!$A168)+COUNTBLANK('Lista de Preços'!$B168)+COUNTBLANK('Lista de Preços'!$C168)+COUNTBLANK('Lista de Preços'!$D168)+COUNTBLANK('Lista de Preços'!$E168)+COUNTBLANK('Lista de Preços'!$F168)+COUNTBLANK('Lista de Preços'!$L168)+COUNTBLANK('Lista de Preços'!$M168)+COUNTBLANK('Lista de Preços'!$P168)+COUNTBLANK('Lista de Preços'!$U168)+COUNTBLANK('Lista de Preços'!$V168))&gt;0,"ERRO","OK"),"")</f>
        <v/>
      </c>
      <c r="D179" s="27" t="str">
        <f aca="false">IF(COUNTA('Lista de Preços'!$A168:$W168)&gt;0,IF(OR(AND('Lista de Preços'!$L168&lt;&gt;"",NOT(ISNUMBER('Lista de Preços'!$L168))),AND('Lista de Preços'!$M168&lt;&gt;"",NOT(ISNUMBER('Lista de Preços'!$M168)))),"ERRO","OK"),"")</f>
        <v/>
      </c>
      <c r="E179" s="27" t="str">
        <f aca="false">IF(COUNTA('Lista de Preços'!$A168:$W168)&gt;0,IF(AND(ISNUMBER('Lista de Preços'!$L168),ISNUMBER('Lista de Preços'!$M168),'Lista de Preços'!$L168&gt;'Lista de Preços'!$M168),"ERRO","OK"),"")</f>
        <v/>
      </c>
      <c r="F179" s="27" t="str">
        <f aca="true">IF(COUNTA('Lista de Preços'!$A168:$W168)&gt;0,IF(AND('Lista de Preços'!$S168&lt;&gt;"",ISNUMBER('Lista de Preços'!$S168),'Lista de Preços'!$S168&lt;TODAY()),"ERRO","OK"),"")</f>
        <v/>
      </c>
      <c r="G179" s="27" t="str">
        <f aca="false">IF(COUNTA('Lista de Preços'!$A168:$W168)&gt;0,IF(AND('Lista de Preços'!$A168&lt;&gt;"",COUNTIF('Lista de Preços'!$A$4:$A$503,'Lista de Preços'!$A168)&gt;1),"ERRO","OK"),"")</f>
        <v/>
      </c>
      <c r="H179" s="27" t="str">
        <f aca="false">IF(COUNTA('Lista de Preços'!$A168:$W168)&gt;0,IF(AND('Lista de Preços'!$N168&lt;&gt;"",ISNUMBER('Lista de Preços'!$N168),OR('Lista de Preços'!$N168&lt;0,'Lista de Preços'!$N168&gt;0.5)),"ERRO","OK"),"")</f>
        <v/>
      </c>
      <c r="I179" s="27" t="str">
        <f aca="false">IF(COUNTA('Lista de Preços'!$A168:$W168)&gt;0,IF(OR($C179="ERRO",$D179="ERRO",$E179="ERRO",$F179="ERRO",$G179="ERRO",$H179="ERRO"),"FALHA","OK"),"")</f>
        <v/>
      </c>
    </row>
    <row r="180" customFormat="false" ht="15" hidden="false" customHeight="false" outlineLevel="0" collapsed="false">
      <c r="A180" s="26" t="n">
        <f aca="false">'Lista de Preços'!$A169</f>
        <v>0</v>
      </c>
      <c r="B180" s="26" t="n">
        <f aca="false">'Lista de Preços'!$B169</f>
        <v>0</v>
      </c>
      <c r="C180" s="27" t="str">
        <f aca="false">IF(COUNTA('Lista de Preços'!$A169:$W169)&gt;0,IF((COUNTBLANK('Lista de Preços'!$A169)+COUNTBLANK('Lista de Preços'!$B169)+COUNTBLANK('Lista de Preços'!$C169)+COUNTBLANK('Lista de Preços'!$D169)+COUNTBLANK('Lista de Preços'!$E169)+COUNTBLANK('Lista de Preços'!$F169)+COUNTBLANK('Lista de Preços'!$L169)+COUNTBLANK('Lista de Preços'!$M169)+COUNTBLANK('Lista de Preços'!$P169)+COUNTBLANK('Lista de Preços'!$U169)+COUNTBLANK('Lista de Preços'!$V169))&gt;0,"ERRO","OK"),"")</f>
        <v/>
      </c>
      <c r="D180" s="27" t="str">
        <f aca="false">IF(COUNTA('Lista de Preços'!$A169:$W169)&gt;0,IF(OR(AND('Lista de Preços'!$L169&lt;&gt;"",NOT(ISNUMBER('Lista de Preços'!$L169))),AND('Lista de Preços'!$M169&lt;&gt;"",NOT(ISNUMBER('Lista de Preços'!$M169)))),"ERRO","OK"),"")</f>
        <v/>
      </c>
      <c r="E180" s="27" t="str">
        <f aca="false">IF(COUNTA('Lista de Preços'!$A169:$W169)&gt;0,IF(AND(ISNUMBER('Lista de Preços'!$L169),ISNUMBER('Lista de Preços'!$M169),'Lista de Preços'!$L169&gt;'Lista de Preços'!$M169),"ERRO","OK"),"")</f>
        <v/>
      </c>
      <c r="F180" s="27" t="str">
        <f aca="true">IF(COUNTA('Lista de Preços'!$A169:$W169)&gt;0,IF(AND('Lista de Preços'!$S169&lt;&gt;"",ISNUMBER('Lista de Preços'!$S169),'Lista de Preços'!$S169&lt;TODAY()),"ERRO","OK"),"")</f>
        <v/>
      </c>
      <c r="G180" s="27" t="str">
        <f aca="false">IF(COUNTA('Lista de Preços'!$A169:$W169)&gt;0,IF(AND('Lista de Preços'!$A169&lt;&gt;"",COUNTIF('Lista de Preços'!$A$4:$A$503,'Lista de Preços'!$A169)&gt;1),"ERRO","OK"),"")</f>
        <v/>
      </c>
      <c r="H180" s="27" t="str">
        <f aca="false">IF(COUNTA('Lista de Preços'!$A169:$W169)&gt;0,IF(AND('Lista de Preços'!$N169&lt;&gt;"",ISNUMBER('Lista de Preços'!$N169),OR('Lista de Preços'!$N169&lt;0,'Lista de Preços'!$N169&gt;0.5)),"ERRO","OK"),"")</f>
        <v/>
      </c>
      <c r="I180" s="27" t="str">
        <f aca="false">IF(COUNTA('Lista de Preços'!$A169:$W169)&gt;0,IF(OR($C180="ERRO",$D180="ERRO",$E180="ERRO",$F180="ERRO",$G180="ERRO",$H180="ERRO"),"FALHA","OK"),"")</f>
        <v/>
      </c>
    </row>
    <row r="181" customFormat="false" ht="15" hidden="false" customHeight="false" outlineLevel="0" collapsed="false">
      <c r="A181" s="26" t="n">
        <f aca="false">'Lista de Preços'!$A170</f>
        <v>0</v>
      </c>
      <c r="B181" s="26" t="n">
        <f aca="false">'Lista de Preços'!$B170</f>
        <v>0</v>
      </c>
      <c r="C181" s="27" t="str">
        <f aca="false">IF(COUNTA('Lista de Preços'!$A170:$W170)&gt;0,IF((COUNTBLANK('Lista de Preços'!$A170)+COUNTBLANK('Lista de Preços'!$B170)+COUNTBLANK('Lista de Preços'!$C170)+COUNTBLANK('Lista de Preços'!$D170)+COUNTBLANK('Lista de Preços'!$E170)+COUNTBLANK('Lista de Preços'!$F170)+COUNTBLANK('Lista de Preços'!$L170)+COUNTBLANK('Lista de Preços'!$M170)+COUNTBLANK('Lista de Preços'!$P170)+COUNTBLANK('Lista de Preços'!$U170)+COUNTBLANK('Lista de Preços'!$V170))&gt;0,"ERRO","OK"),"")</f>
        <v/>
      </c>
      <c r="D181" s="27" t="str">
        <f aca="false">IF(COUNTA('Lista de Preços'!$A170:$W170)&gt;0,IF(OR(AND('Lista de Preços'!$L170&lt;&gt;"",NOT(ISNUMBER('Lista de Preços'!$L170))),AND('Lista de Preços'!$M170&lt;&gt;"",NOT(ISNUMBER('Lista de Preços'!$M170)))),"ERRO","OK"),"")</f>
        <v/>
      </c>
      <c r="E181" s="27" t="str">
        <f aca="false">IF(COUNTA('Lista de Preços'!$A170:$W170)&gt;0,IF(AND(ISNUMBER('Lista de Preços'!$L170),ISNUMBER('Lista de Preços'!$M170),'Lista de Preços'!$L170&gt;'Lista de Preços'!$M170),"ERRO","OK"),"")</f>
        <v/>
      </c>
      <c r="F181" s="27" t="str">
        <f aca="true">IF(COUNTA('Lista de Preços'!$A170:$W170)&gt;0,IF(AND('Lista de Preços'!$S170&lt;&gt;"",ISNUMBER('Lista de Preços'!$S170),'Lista de Preços'!$S170&lt;TODAY()),"ERRO","OK"),"")</f>
        <v/>
      </c>
      <c r="G181" s="27" t="str">
        <f aca="false">IF(COUNTA('Lista de Preços'!$A170:$W170)&gt;0,IF(AND('Lista de Preços'!$A170&lt;&gt;"",COUNTIF('Lista de Preços'!$A$4:$A$503,'Lista de Preços'!$A170)&gt;1),"ERRO","OK"),"")</f>
        <v/>
      </c>
      <c r="H181" s="27" t="str">
        <f aca="false">IF(COUNTA('Lista de Preços'!$A170:$W170)&gt;0,IF(AND('Lista de Preços'!$N170&lt;&gt;"",ISNUMBER('Lista de Preços'!$N170),OR('Lista de Preços'!$N170&lt;0,'Lista de Preços'!$N170&gt;0.5)),"ERRO","OK"),"")</f>
        <v/>
      </c>
      <c r="I181" s="27" t="str">
        <f aca="false">IF(COUNTA('Lista de Preços'!$A170:$W170)&gt;0,IF(OR($C181="ERRO",$D181="ERRO",$E181="ERRO",$F181="ERRO",$G181="ERRO",$H181="ERRO"),"FALHA","OK"),"")</f>
        <v/>
      </c>
    </row>
    <row r="182" customFormat="false" ht="15" hidden="false" customHeight="false" outlineLevel="0" collapsed="false">
      <c r="A182" s="26" t="n">
        <f aca="false">'Lista de Preços'!$A171</f>
        <v>0</v>
      </c>
      <c r="B182" s="26" t="n">
        <f aca="false">'Lista de Preços'!$B171</f>
        <v>0</v>
      </c>
      <c r="C182" s="27" t="str">
        <f aca="false">IF(COUNTA('Lista de Preços'!$A171:$W171)&gt;0,IF((COUNTBLANK('Lista de Preços'!$A171)+COUNTBLANK('Lista de Preços'!$B171)+COUNTBLANK('Lista de Preços'!$C171)+COUNTBLANK('Lista de Preços'!$D171)+COUNTBLANK('Lista de Preços'!$E171)+COUNTBLANK('Lista de Preços'!$F171)+COUNTBLANK('Lista de Preços'!$L171)+COUNTBLANK('Lista de Preços'!$M171)+COUNTBLANK('Lista de Preços'!$P171)+COUNTBLANK('Lista de Preços'!$U171)+COUNTBLANK('Lista de Preços'!$V171))&gt;0,"ERRO","OK"),"")</f>
        <v/>
      </c>
      <c r="D182" s="27" t="str">
        <f aca="false">IF(COUNTA('Lista de Preços'!$A171:$W171)&gt;0,IF(OR(AND('Lista de Preços'!$L171&lt;&gt;"",NOT(ISNUMBER('Lista de Preços'!$L171))),AND('Lista de Preços'!$M171&lt;&gt;"",NOT(ISNUMBER('Lista de Preços'!$M171)))),"ERRO","OK"),"")</f>
        <v/>
      </c>
      <c r="E182" s="27" t="str">
        <f aca="false">IF(COUNTA('Lista de Preços'!$A171:$W171)&gt;0,IF(AND(ISNUMBER('Lista de Preços'!$L171),ISNUMBER('Lista de Preços'!$M171),'Lista de Preços'!$L171&gt;'Lista de Preços'!$M171),"ERRO","OK"),"")</f>
        <v/>
      </c>
      <c r="F182" s="27" t="str">
        <f aca="true">IF(COUNTA('Lista de Preços'!$A171:$W171)&gt;0,IF(AND('Lista de Preços'!$S171&lt;&gt;"",ISNUMBER('Lista de Preços'!$S171),'Lista de Preços'!$S171&lt;TODAY()),"ERRO","OK"),"")</f>
        <v/>
      </c>
      <c r="G182" s="27" t="str">
        <f aca="false">IF(COUNTA('Lista de Preços'!$A171:$W171)&gt;0,IF(AND('Lista de Preços'!$A171&lt;&gt;"",COUNTIF('Lista de Preços'!$A$4:$A$503,'Lista de Preços'!$A171)&gt;1),"ERRO","OK"),"")</f>
        <v/>
      </c>
      <c r="H182" s="27" t="str">
        <f aca="false">IF(COUNTA('Lista de Preços'!$A171:$W171)&gt;0,IF(AND('Lista de Preços'!$N171&lt;&gt;"",ISNUMBER('Lista de Preços'!$N171),OR('Lista de Preços'!$N171&lt;0,'Lista de Preços'!$N171&gt;0.5)),"ERRO","OK"),"")</f>
        <v/>
      </c>
      <c r="I182" s="27" t="str">
        <f aca="false">IF(COUNTA('Lista de Preços'!$A171:$W171)&gt;0,IF(OR($C182="ERRO",$D182="ERRO",$E182="ERRO",$F182="ERRO",$G182="ERRO",$H182="ERRO"),"FALHA","OK"),"")</f>
        <v/>
      </c>
    </row>
    <row r="183" customFormat="false" ht="15" hidden="false" customHeight="false" outlineLevel="0" collapsed="false">
      <c r="A183" s="26" t="n">
        <f aca="false">'Lista de Preços'!$A172</f>
        <v>0</v>
      </c>
      <c r="B183" s="26" t="n">
        <f aca="false">'Lista de Preços'!$B172</f>
        <v>0</v>
      </c>
      <c r="C183" s="27" t="str">
        <f aca="false">IF(COUNTA('Lista de Preços'!$A172:$W172)&gt;0,IF((COUNTBLANK('Lista de Preços'!$A172)+COUNTBLANK('Lista de Preços'!$B172)+COUNTBLANK('Lista de Preços'!$C172)+COUNTBLANK('Lista de Preços'!$D172)+COUNTBLANK('Lista de Preços'!$E172)+COUNTBLANK('Lista de Preços'!$F172)+COUNTBLANK('Lista de Preços'!$L172)+COUNTBLANK('Lista de Preços'!$M172)+COUNTBLANK('Lista de Preços'!$P172)+COUNTBLANK('Lista de Preços'!$U172)+COUNTBLANK('Lista de Preços'!$V172))&gt;0,"ERRO","OK"),"")</f>
        <v/>
      </c>
      <c r="D183" s="27" t="str">
        <f aca="false">IF(COUNTA('Lista de Preços'!$A172:$W172)&gt;0,IF(OR(AND('Lista de Preços'!$L172&lt;&gt;"",NOT(ISNUMBER('Lista de Preços'!$L172))),AND('Lista de Preços'!$M172&lt;&gt;"",NOT(ISNUMBER('Lista de Preços'!$M172)))),"ERRO","OK"),"")</f>
        <v/>
      </c>
      <c r="E183" s="27" t="str">
        <f aca="false">IF(COUNTA('Lista de Preços'!$A172:$W172)&gt;0,IF(AND(ISNUMBER('Lista de Preços'!$L172),ISNUMBER('Lista de Preços'!$M172),'Lista de Preços'!$L172&gt;'Lista de Preços'!$M172),"ERRO","OK"),"")</f>
        <v/>
      </c>
      <c r="F183" s="27" t="str">
        <f aca="true">IF(COUNTA('Lista de Preços'!$A172:$W172)&gt;0,IF(AND('Lista de Preços'!$S172&lt;&gt;"",ISNUMBER('Lista de Preços'!$S172),'Lista de Preços'!$S172&lt;TODAY()),"ERRO","OK"),"")</f>
        <v/>
      </c>
      <c r="G183" s="27" t="str">
        <f aca="false">IF(COUNTA('Lista de Preços'!$A172:$W172)&gt;0,IF(AND('Lista de Preços'!$A172&lt;&gt;"",COUNTIF('Lista de Preços'!$A$4:$A$503,'Lista de Preços'!$A172)&gt;1),"ERRO","OK"),"")</f>
        <v/>
      </c>
      <c r="H183" s="27" t="str">
        <f aca="false">IF(COUNTA('Lista de Preços'!$A172:$W172)&gt;0,IF(AND('Lista de Preços'!$N172&lt;&gt;"",ISNUMBER('Lista de Preços'!$N172),OR('Lista de Preços'!$N172&lt;0,'Lista de Preços'!$N172&gt;0.5)),"ERRO","OK"),"")</f>
        <v/>
      </c>
      <c r="I183" s="27" t="str">
        <f aca="false">IF(COUNTA('Lista de Preços'!$A172:$W172)&gt;0,IF(OR($C183="ERRO",$D183="ERRO",$E183="ERRO",$F183="ERRO",$G183="ERRO",$H183="ERRO"),"FALHA","OK"),"")</f>
        <v/>
      </c>
    </row>
    <row r="184" customFormat="false" ht="15" hidden="false" customHeight="false" outlineLevel="0" collapsed="false">
      <c r="A184" s="26" t="n">
        <f aca="false">'Lista de Preços'!$A173</f>
        <v>0</v>
      </c>
      <c r="B184" s="26" t="n">
        <f aca="false">'Lista de Preços'!$B173</f>
        <v>0</v>
      </c>
      <c r="C184" s="27" t="str">
        <f aca="false">IF(COUNTA('Lista de Preços'!$A173:$W173)&gt;0,IF((COUNTBLANK('Lista de Preços'!$A173)+COUNTBLANK('Lista de Preços'!$B173)+COUNTBLANK('Lista de Preços'!$C173)+COUNTBLANK('Lista de Preços'!$D173)+COUNTBLANK('Lista de Preços'!$E173)+COUNTBLANK('Lista de Preços'!$F173)+COUNTBLANK('Lista de Preços'!$L173)+COUNTBLANK('Lista de Preços'!$M173)+COUNTBLANK('Lista de Preços'!$P173)+COUNTBLANK('Lista de Preços'!$U173)+COUNTBLANK('Lista de Preços'!$V173))&gt;0,"ERRO","OK"),"")</f>
        <v/>
      </c>
      <c r="D184" s="27" t="str">
        <f aca="false">IF(COUNTA('Lista de Preços'!$A173:$W173)&gt;0,IF(OR(AND('Lista de Preços'!$L173&lt;&gt;"",NOT(ISNUMBER('Lista de Preços'!$L173))),AND('Lista de Preços'!$M173&lt;&gt;"",NOT(ISNUMBER('Lista de Preços'!$M173)))),"ERRO","OK"),"")</f>
        <v/>
      </c>
      <c r="E184" s="27" t="str">
        <f aca="false">IF(COUNTA('Lista de Preços'!$A173:$W173)&gt;0,IF(AND(ISNUMBER('Lista de Preços'!$L173),ISNUMBER('Lista de Preços'!$M173),'Lista de Preços'!$L173&gt;'Lista de Preços'!$M173),"ERRO","OK"),"")</f>
        <v/>
      </c>
      <c r="F184" s="27" t="str">
        <f aca="true">IF(COUNTA('Lista de Preços'!$A173:$W173)&gt;0,IF(AND('Lista de Preços'!$S173&lt;&gt;"",ISNUMBER('Lista de Preços'!$S173),'Lista de Preços'!$S173&lt;TODAY()),"ERRO","OK"),"")</f>
        <v/>
      </c>
      <c r="G184" s="27" t="str">
        <f aca="false">IF(COUNTA('Lista de Preços'!$A173:$W173)&gt;0,IF(AND('Lista de Preços'!$A173&lt;&gt;"",COUNTIF('Lista de Preços'!$A$4:$A$503,'Lista de Preços'!$A173)&gt;1),"ERRO","OK"),"")</f>
        <v/>
      </c>
      <c r="H184" s="27" t="str">
        <f aca="false">IF(COUNTA('Lista de Preços'!$A173:$W173)&gt;0,IF(AND('Lista de Preços'!$N173&lt;&gt;"",ISNUMBER('Lista de Preços'!$N173),OR('Lista de Preços'!$N173&lt;0,'Lista de Preços'!$N173&gt;0.5)),"ERRO","OK"),"")</f>
        <v/>
      </c>
      <c r="I184" s="27" t="str">
        <f aca="false">IF(COUNTA('Lista de Preços'!$A173:$W173)&gt;0,IF(OR($C184="ERRO",$D184="ERRO",$E184="ERRO",$F184="ERRO",$G184="ERRO",$H184="ERRO"),"FALHA","OK"),"")</f>
        <v/>
      </c>
    </row>
    <row r="185" customFormat="false" ht="15" hidden="false" customHeight="false" outlineLevel="0" collapsed="false">
      <c r="A185" s="26" t="n">
        <f aca="false">'Lista de Preços'!$A174</f>
        <v>0</v>
      </c>
      <c r="B185" s="26" t="n">
        <f aca="false">'Lista de Preços'!$B174</f>
        <v>0</v>
      </c>
      <c r="C185" s="27" t="str">
        <f aca="false">IF(COUNTA('Lista de Preços'!$A174:$W174)&gt;0,IF((COUNTBLANK('Lista de Preços'!$A174)+COUNTBLANK('Lista de Preços'!$B174)+COUNTBLANK('Lista de Preços'!$C174)+COUNTBLANK('Lista de Preços'!$D174)+COUNTBLANK('Lista de Preços'!$E174)+COUNTBLANK('Lista de Preços'!$F174)+COUNTBLANK('Lista de Preços'!$L174)+COUNTBLANK('Lista de Preços'!$M174)+COUNTBLANK('Lista de Preços'!$P174)+COUNTBLANK('Lista de Preços'!$U174)+COUNTBLANK('Lista de Preços'!$V174))&gt;0,"ERRO","OK"),"")</f>
        <v/>
      </c>
      <c r="D185" s="27" t="str">
        <f aca="false">IF(COUNTA('Lista de Preços'!$A174:$W174)&gt;0,IF(OR(AND('Lista de Preços'!$L174&lt;&gt;"",NOT(ISNUMBER('Lista de Preços'!$L174))),AND('Lista de Preços'!$M174&lt;&gt;"",NOT(ISNUMBER('Lista de Preços'!$M174)))),"ERRO","OK"),"")</f>
        <v/>
      </c>
      <c r="E185" s="27" t="str">
        <f aca="false">IF(COUNTA('Lista de Preços'!$A174:$W174)&gt;0,IF(AND(ISNUMBER('Lista de Preços'!$L174),ISNUMBER('Lista de Preços'!$M174),'Lista de Preços'!$L174&gt;'Lista de Preços'!$M174),"ERRO","OK"),"")</f>
        <v/>
      </c>
      <c r="F185" s="27" t="str">
        <f aca="true">IF(COUNTA('Lista de Preços'!$A174:$W174)&gt;0,IF(AND('Lista de Preços'!$S174&lt;&gt;"",ISNUMBER('Lista de Preços'!$S174),'Lista de Preços'!$S174&lt;TODAY()),"ERRO","OK"),"")</f>
        <v/>
      </c>
      <c r="G185" s="27" t="str">
        <f aca="false">IF(COUNTA('Lista de Preços'!$A174:$W174)&gt;0,IF(AND('Lista de Preços'!$A174&lt;&gt;"",COUNTIF('Lista de Preços'!$A$4:$A$503,'Lista de Preços'!$A174)&gt;1),"ERRO","OK"),"")</f>
        <v/>
      </c>
      <c r="H185" s="27" t="str">
        <f aca="false">IF(COUNTA('Lista de Preços'!$A174:$W174)&gt;0,IF(AND('Lista de Preços'!$N174&lt;&gt;"",ISNUMBER('Lista de Preços'!$N174),OR('Lista de Preços'!$N174&lt;0,'Lista de Preços'!$N174&gt;0.5)),"ERRO","OK"),"")</f>
        <v/>
      </c>
      <c r="I185" s="27" t="str">
        <f aca="false">IF(COUNTA('Lista de Preços'!$A174:$W174)&gt;0,IF(OR($C185="ERRO",$D185="ERRO",$E185="ERRO",$F185="ERRO",$G185="ERRO",$H185="ERRO"),"FALHA","OK"),"")</f>
        <v/>
      </c>
    </row>
    <row r="186" customFormat="false" ht="15" hidden="false" customHeight="false" outlineLevel="0" collapsed="false">
      <c r="A186" s="26" t="n">
        <f aca="false">'Lista de Preços'!$A175</f>
        <v>0</v>
      </c>
      <c r="B186" s="26" t="n">
        <f aca="false">'Lista de Preços'!$B175</f>
        <v>0</v>
      </c>
      <c r="C186" s="27" t="str">
        <f aca="false">IF(COUNTA('Lista de Preços'!$A175:$W175)&gt;0,IF((COUNTBLANK('Lista de Preços'!$A175)+COUNTBLANK('Lista de Preços'!$B175)+COUNTBLANK('Lista de Preços'!$C175)+COUNTBLANK('Lista de Preços'!$D175)+COUNTBLANK('Lista de Preços'!$E175)+COUNTBLANK('Lista de Preços'!$F175)+COUNTBLANK('Lista de Preços'!$L175)+COUNTBLANK('Lista de Preços'!$M175)+COUNTBLANK('Lista de Preços'!$P175)+COUNTBLANK('Lista de Preços'!$U175)+COUNTBLANK('Lista de Preços'!$V175))&gt;0,"ERRO","OK"),"")</f>
        <v/>
      </c>
      <c r="D186" s="27" t="str">
        <f aca="false">IF(COUNTA('Lista de Preços'!$A175:$W175)&gt;0,IF(OR(AND('Lista de Preços'!$L175&lt;&gt;"",NOT(ISNUMBER('Lista de Preços'!$L175))),AND('Lista de Preços'!$M175&lt;&gt;"",NOT(ISNUMBER('Lista de Preços'!$M175)))),"ERRO","OK"),"")</f>
        <v/>
      </c>
      <c r="E186" s="27" t="str">
        <f aca="false">IF(COUNTA('Lista de Preços'!$A175:$W175)&gt;0,IF(AND(ISNUMBER('Lista de Preços'!$L175),ISNUMBER('Lista de Preços'!$M175),'Lista de Preços'!$L175&gt;'Lista de Preços'!$M175),"ERRO","OK"),"")</f>
        <v/>
      </c>
      <c r="F186" s="27" t="str">
        <f aca="true">IF(COUNTA('Lista de Preços'!$A175:$W175)&gt;0,IF(AND('Lista de Preços'!$S175&lt;&gt;"",ISNUMBER('Lista de Preços'!$S175),'Lista de Preços'!$S175&lt;TODAY()),"ERRO","OK"),"")</f>
        <v/>
      </c>
      <c r="G186" s="27" t="str">
        <f aca="false">IF(COUNTA('Lista de Preços'!$A175:$W175)&gt;0,IF(AND('Lista de Preços'!$A175&lt;&gt;"",COUNTIF('Lista de Preços'!$A$4:$A$503,'Lista de Preços'!$A175)&gt;1),"ERRO","OK"),"")</f>
        <v/>
      </c>
      <c r="H186" s="27" t="str">
        <f aca="false">IF(COUNTA('Lista de Preços'!$A175:$W175)&gt;0,IF(AND('Lista de Preços'!$N175&lt;&gt;"",ISNUMBER('Lista de Preços'!$N175),OR('Lista de Preços'!$N175&lt;0,'Lista de Preços'!$N175&gt;0.5)),"ERRO","OK"),"")</f>
        <v/>
      </c>
      <c r="I186" s="27" t="str">
        <f aca="false">IF(COUNTA('Lista de Preços'!$A175:$W175)&gt;0,IF(OR($C186="ERRO",$D186="ERRO",$E186="ERRO",$F186="ERRO",$G186="ERRO",$H186="ERRO"),"FALHA","OK"),"")</f>
        <v/>
      </c>
    </row>
    <row r="187" customFormat="false" ht="15" hidden="false" customHeight="false" outlineLevel="0" collapsed="false">
      <c r="A187" s="26" t="n">
        <f aca="false">'Lista de Preços'!$A176</f>
        <v>0</v>
      </c>
      <c r="B187" s="26" t="n">
        <f aca="false">'Lista de Preços'!$B176</f>
        <v>0</v>
      </c>
      <c r="C187" s="27" t="str">
        <f aca="false">IF(COUNTA('Lista de Preços'!$A176:$W176)&gt;0,IF((COUNTBLANK('Lista de Preços'!$A176)+COUNTBLANK('Lista de Preços'!$B176)+COUNTBLANK('Lista de Preços'!$C176)+COUNTBLANK('Lista de Preços'!$D176)+COUNTBLANK('Lista de Preços'!$E176)+COUNTBLANK('Lista de Preços'!$F176)+COUNTBLANK('Lista de Preços'!$L176)+COUNTBLANK('Lista de Preços'!$M176)+COUNTBLANK('Lista de Preços'!$P176)+COUNTBLANK('Lista de Preços'!$U176)+COUNTBLANK('Lista de Preços'!$V176))&gt;0,"ERRO","OK"),"")</f>
        <v/>
      </c>
      <c r="D187" s="27" t="str">
        <f aca="false">IF(COUNTA('Lista de Preços'!$A176:$W176)&gt;0,IF(OR(AND('Lista de Preços'!$L176&lt;&gt;"",NOT(ISNUMBER('Lista de Preços'!$L176))),AND('Lista de Preços'!$M176&lt;&gt;"",NOT(ISNUMBER('Lista de Preços'!$M176)))),"ERRO","OK"),"")</f>
        <v/>
      </c>
      <c r="E187" s="27" t="str">
        <f aca="false">IF(COUNTA('Lista de Preços'!$A176:$W176)&gt;0,IF(AND(ISNUMBER('Lista de Preços'!$L176),ISNUMBER('Lista de Preços'!$M176),'Lista de Preços'!$L176&gt;'Lista de Preços'!$M176),"ERRO","OK"),"")</f>
        <v/>
      </c>
      <c r="F187" s="27" t="str">
        <f aca="true">IF(COUNTA('Lista de Preços'!$A176:$W176)&gt;0,IF(AND('Lista de Preços'!$S176&lt;&gt;"",ISNUMBER('Lista de Preços'!$S176),'Lista de Preços'!$S176&lt;TODAY()),"ERRO","OK"),"")</f>
        <v/>
      </c>
      <c r="G187" s="27" t="str">
        <f aca="false">IF(COUNTA('Lista de Preços'!$A176:$W176)&gt;0,IF(AND('Lista de Preços'!$A176&lt;&gt;"",COUNTIF('Lista de Preços'!$A$4:$A$503,'Lista de Preços'!$A176)&gt;1),"ERRO","OK"),"")</f>
        <v/>
      </c>
      <c r="H187" s="27" t="str">
        <f aca="false">IF(COUNTA('Lista de Preços'!$A176:$W176)&gt;0,IF(AND('Lista de Preços'!$N176&lt;&gt;"",ISNUMBER('Lista de Preços'!$N176),OR('Lista de Preços'!$N176&lt;0,'Lista de Preços'!$N176&gt;0.5)),"ERRO","OK"),"")</f>
        <v/>
      </c>
      <c r="I187" s="27" t="str">
        <f aca="false">IF(COUNTA('Lista de Preços'!$A176:$W176)&gt;0,IF(OR($C187="ERRO",$D187="ERRO",$E187="ERRO",$F187="ERRO",$G187="ERRO",$H187="ERRO"),"FALHA","OK"),"")</f>
        <v/>
      </c>
    </row>
    <row r="188" customFormat="false" ht="15" hidden="false" customHeight="false" outlineLevel="0" collapsed="false">
      <c r="A188" s="26" t="n">
        <f aca="false">'Lista de Preços'!$A177</f>
        <v>0</v>
      </c>
      <c r="B188" s="26" t="n">
        <f aca="false">'Lista de Preços'!$B177</f>
        <v>0</v>
      </c>
      <c r="C188" s="27" t="str">
        <f aca="false">IF(COUNTA('Lista de Preços'!$A177:$W177)&gt;0,IF((COUNTBLANK('Lista de Preços'!$A177)+COUNTBLANK('Lista de Preços'!$B177)+COUNTBLANK('Lista de Preços'!$C177)+COUNTBLANK('Lista de Preços'!$D177)+COUNTBLANK('Lista de Preços'!$E177)+COUNTBLANK('Lista de Preços'!$F177)+COUNTBLANK('Lista de Preços'!$L177)+COUNTBLANK('Lista de Preços'!$M177)+COUNTBLANK('Lista de Preços'!$P177)+COUNTBLANK('Lista de Preços'!$U177)+COUNTBLANK('Lista de Preços'!$V177))&gt;0,"ERRO","OK"),"")</f>
        <v/>
      </c>
      <c r="D188" s="27" t="str">
        <f aca="false">IF(COUNTA('Lista de Preços'!$A177:$W177)&gt;0,IF(OR(AND('Lista de Preços'!$L177&lt;&gt;"",NOT(ISNUMBER('Lista de Preços'!$L177))),AND('Lista de Preços'!$M177&lt;&gt;"",NOT(ISNUMBER('Lista de Preços'!$M177)))),"ERRO","OK"),"")</f>
        <v/>
      </c>
      <c r="E188" s="27" t="str">
        <f aca="false">IF(COUNTA('Lista de Preços'!$A177:$W177)&gt;0,IF(AND(ISNUMBER('Lista de Preços'!$L177),ISNUMBER('Lista de Preços'!$M177),'Lista de Preços'!$L177&gt;'Lista de Preços'!$M177),"ERRO","OK"),"")</f>
        <v/>
      </c>
      <c r="F188" s="27" t="str">
        <f aca="true">IF(COUNTA('Lista de Preços'!$A177:$W177)&gt;0,IF(AND('Lista de Preços'!$S177&lt;&gt;"",ISNUMBER('Lista de Preços'!$S177),'Lista de Preços'!$S177&lt;TODAY()),"ERRO","OK"),"")</f>
        <v/>
      </c>
      <c r="G188" s="27" t="str">
        <f aca="false">IF(COUNTA('Lista de Preços'!$A177:$W177)&gt;0,IF(AND('Lista de Preços'!$A177&lt;&gt;"",COUNTIF('Lista de Preços'!$A$4:$A$503,'Lista de Preços'!$A177)&gt;1),"ERRO","OK"),"")</f>
        <v/>
      </c>
      <c r="H188" s="27" t="str">
        <f aca="false">IF(COUNTA('Lista de Preços'!$A177:$W177)&gt;0,IF(AND('Lista de Preços'!$N177&lt;&gt;"",ISNUMBER('Lista de Preços'!$N177),OR('Lista de Preços'!$N177&lt;0,'Lista de Preços'!$N177&gt;0.5)),"ERRO","OK"),"")</f>
        <v/>
      </c>
      <c r="I188" s="27" t="str">
        <f aca="false">IF(COUNTA('Lista de Preços'!$A177:$W177)&gt;0,IF(OR($C188="ERRO",$D188="ERRO",$E188="ERRO",$F188="ERRO",$G188="ERRO",$H188="ERRO"),"FALHA","OK"),"")</f>
        <v/>
      </c>
    </row>
    <row r="189" customFormat="false" ht="15" hidden="false" customHeight="false" outlineLevel="0" collapsed="false">
      <c r="A189" s="26" t="n">
        <f aca="false">'Lista de Preços'!$A178</f>
        <v>0</v>
      </c>
      <c r="B189" s="26" t="n">
        <f aca="false">'Lista de Preços'!$B178</f>
        <v>0</v>
      </c>
      <c r="C189" s="27" t="str">
        <f aca="false">IF(COUNTA('Lista de Preços'!$A178:$W178)&gt;0,IF((COUNTBLANK('Lista de Preços'!$A178)+COUNTBLANK('Lista de Preços'!$B178)+COUNTBLANK('Lista de Preços'!$C178)+COUNTBLANK('Lista de Preços'!$D178)+COUNTBLANK('Lista de Preços'!$E178)+COUNTBLANK('Lista de Preços'!$F178)+COUNTBLANK('Lista de Preços'!$L178)+COUNTBLANK('Lista de Preços'!$M178)+COUNTBLANK('Lista de Preços'!$P178)+COUNTBLANK('Lista de Preços'!$U178)+COUNTBLANK('Lista de Preços'!$V178))&gt;0,"ERRO","OK"),"")</f>
        <v/>
      </c>
      <c r="D189" s="27" t="str">
        <f aca="false">IF(COUNTA('Lista de Preços'!$A178:$W178)&gt;0,IF(OR(AND('Lista de Preços'!$L178&lt;&gt;"",NOT(ISNUMBER('Lista de Preços'!$L178))),AND('Lista de Preços'!$M178&lt;&gt;"",NOT(ISNUMBER('Lista de Preços'!$M178)))),"ERRO","OK"),"")</f>
        <v/>
      </c>
      <c r="E189" s="27" t="str">
        <f aca="false">IF(COUNTA('Lista de Preços'!$A178:$W178)&gt;0,IF(AND(ISNUMBER('Lista de Preços'!$L178),ISNUMBER('Lista de Preços'!$M178),'Lista de Preços'!$L178&gt;'Lista de Preços'!$M178),"ERRO","OK"),"")</f>
        <v/>
      </c>
      <c r="F189" s="27" t="str">
        <f aca="true">IF(COUNTA('Lista de Preços'!$A178:$W178)&gt;0,IF(AND('Lista de Preços'!$S178&lt;&gt;"",ISNUMBER('Lista de Preços'!$S178),'Lista de Preços'!$S178&lt;TODAY()),"ERRO","OK"),"")</f>
        <v/>
      </c>
      <c r="G189" s="27" t="str">
        <f aca="false">IF(COUNTA('Lista de Preços'!$A178:$W178)&gt;0,IF(AND('Lista de Preços'!$A178&lt;&gt;"",COUNTIF('Lista de Preços'!$A$4:$A$503,'Lista de Preços'!$A178)&gt;1),"ERRO","OK"),"")</f>
        <v/>
      </c>
      <c r="H189" s="27" t="str">
        <f aca="false">IF(COUNTA('Lista de Preços'!$A178:$W178)&gt;0,IF(AND('Lista de Preços'!$N178&lt;&gt;"",ISNUMBER('Lista de Preços'!$N178),OR('Lista de Preços'!$N178&lt;0,'Lista de Preços'!$N178&gt;0.5)),"ERRO","OK"),"")</f>
        <v/>
      </c>
      <c r="I189" s="27" t="str">
        <f aca="false">IF(COUNTA('Lista de Preços'!$A178:$W178)&gt;0,IF(OR($C189="ERRO",$D189="ERRO",$E189="ERRO",$F189="ERRO",$G189="ERRO",$H189="ERRO"),"FALHA","OK"),"")</f>
        <v/>
      </c>
    </row>
    <row r="190" customFormat="false" ht="15" hidden="false" customHeight="false" outlineLevel="0" collapsed="false">
      <c r="A190" s="26" t="n">
        <f aca="false">'Lista de Preços'!$A179</f>
        <v>0</v>
      </c>
      <c r="B190" s="26" t="n">
        <f aca="false">'Lista de Preços'!$B179</f>
        <v>0</v>
      </c>
      <c r="C190" s="27" t="str">
        <f aca="false">IF(COUNTA('Lista de Preços'!$A179:$W179)&gt;0,IF((COUNTBLANK('Lista de Preços'!$A179)+COUNTBLANK('Lista de Preços'!$B179)+COUNTBLANK('Lista de Preços'!$C179)+COUNTBLANK('Lista de Preços'!$D179)+COUNTBLANK('Lista de Preços'!$E179)+COUNTBLANK('Lista de Preços'!$F179)+COUNTBLANK('Lista de Preços'!$L179)+COUNTBLANK('Lista de Preços'!$M179)+COUNTBLANK('Lista de Preços'!$P179)+COUNTBLANK('Lista de Preços'!$U179)+COUNTBLANK('Lista de Preços'!$V179))&gt;0,"ERRO","OK"),"")</f>
        <v/>
      </c>
      <c r="D190" s="27" t="str">
        <f aca="false">IF(COUNTA('Lista de Preços'!$A179:$W179)&gt;0,IF(OR(AND('Lista de Preços'!$L179&lt;&gt;"",NOT(ISNUMBER('Lista de Preços'!$L179))),AND('Lista de Preços'!$M179&lt;&gt;"",NOT(ISNUMBER('Lista de Preços'!$M179)))),"ERRO","OK"),"")</f>
        <v/>
      </c>
      <c r="E190" s="27" t="str">
        <f aca="false">IF(COUNTA('Lista de Preços'!$A179:$W179)&gt;0,IF(AND(ISNUMBER('Lista de Preços'!$L179),ISNUMBER('Lista de Preços'!$M179),'Lista de Preços'!$L179&gt;'Lista de Preços'!$M179),"ERRO","OK"),"")</f>
        <v/>
      </c>
      <c r="F190" s="27" t="str">
        <f aca="true">IF(COUNTA('Lista de Preços'!$A179:$W179)&gt;0,IF(AND('Lista de Preços'!$S179&lt;&gt;"",ISNUMBER('Lista de Preços'!$S179),'Lista de Preços'!$S179&lt;TODAY()),"ERRO","OK"),"")</f>
        <v/>
      </c>
      <c r="G190" s="27" t="str">
        <f aca="false">IF(COUNTA('Lista de Preços'!$A179:$W179)&gt;0,IF(AND('Lista de Preços'!$A179&lt;&gt;"",COUNTIF('Lista de Preços'!$A$4:$A$503,'Lista de Preços'!$A179)&gt;1),"ERRO","OK"),"")</f>
        <v/>
      </c>
      <c r="H190" s="27" t="str">
        <f aca="false">IF(COUNTA('Lista de Preços'!$A179:$W179)&gt;0,IF(AND('Lista de Preços'!$N179&lt;&gt;"",ISNUMBER('Lista de Preços'!$N179),OR('Lista de Preços'!$N179&lt;0,'Lista de Preços'!$N179&gt;0.5)),"ERRO","OK"),"")</f>
        <v/>
      </c>
      <c r="I190" s="27" t="str">
        <f aca="false">IF(COUNTA('Lista de Preços'!$A179:$W179)&gt;0,IF(OR($C190="ERRO",$D190="ERRO",$E190="ERRO",$F190="ERRO",$G190="ERRO",$H190="ERRO"),"FALHA","OK"),"")</f>
        <v/>
      </c>
    </row>
    <row r="191" customFormat="false" ht="15" hidden="false" customHeight="false" outlineLevel="0" collapsed="false">
      <c r="A191" s="26" t="n">
        <f aca="false">'Lista de Preços'!$A180</f>
        <v>0</v>
      </c>
      <c r="B191" s="26" t="n">
        <f aca="false">'Lista de Preços'!$B180</f>
        <v>0</v>
      </c>
      <c r="C191" s="27" t="str">
        <f aca="false">IF(COUNTA('Lista de Preços'!$A180:$W180)&gt;0,IF((COUNTBLANK('Lista de Preços'!$A180)+COUNTBLANK('Lista de Preços'!$B180)+COUNTBLANK('Lista de Preços'!$C180)+COUNTBLANK('Lista de Preços'!$D180)+COUNTBLANK('Lista de Preços'!$E180)+COUNTBLANK('Lista de Preços'!$F180)+COUNTBLANK('Lista de Preços'!$L180)+COUNTBLANK('Lista de Preços'!$M180)+COUNTBLANK('Lista de Preços'!$P180)+COUNTBLANK('Lista de Preços'!$U180)+COUNTBLANK('Lista de Preços'!$V180))&gt;0,"ERRO","OK"),"")</f>
        <v/>
      </c>
      <c r="D191" s="27" t="str">
        <f aca="false">IF(COUNTA('Lista de Preços'!$A180:$W180)&gt;0,IF(OR(AND('Lista de Preços'!$L180&lt;&gt;"",NOT(ISNUMBER('Lista de Preços'!$L180))),AND('Lista de Preços'!$M180&lt;&gt;"",NOT(ISNUMBER('Lista de Preços'!$M180)))),"ERRO","OK"),"")</f>
        <v/>
      </c>
      <c r="E191" s="27" t="str">
        <f aca="false">IF(COUNTA('Lista de Preços'!$A180:$W180)&gt;0,IF(AND(ISNUMBER('Lista de Preços'!$L180),ISNUMBER('Lista de Preços'!$M180),'Lista de Preços'!$L180&gt;'Lista de Preços'!$M180),"ERRO","OK"),"")</f>
        <v/>
      </c>
      <c r="F191" s="27" t="str">
        <f aca="true">IF(COUNTA('Lista de Preços'!$A180:$W180)&gt;0,IF(AND('Lista de Preços'!$S180&lt;&gt;"",ISNUMBER('Lista de Preços'!$S180),'Lista de Preços'!$S180&lt;TODAY()),"ERRO","OK"),"")</f>
        <v/>
      </c>
      <c r="G191" s="27" t="str">
        <f aca="false">IF(COUNTA('Lista de Preços'!$A180:$W180)&gt;0,IF(AND('Lista de Preços'!$A180&lt;&gt;"",COUNTIF('Lista de Preços'!$A$4:$A$503,'Lista de Preços'!$A180)&gt;1),"ERRO","OK"),"")</f>
        <v/>
      </c>
      <c r="H191" s="27" t="str">
        <f aca="false">IF(COUNTA('Lista de Preços'!$A180:$W180)&gt;0,IF(AND('Lista de Preços'!$N180&lt;&gt;"",ISNUMBER('Lista de Preços'!$N180),OR('Lista de Preços'!$N180&lt;0,'Lista de Preços'!$N180&gt;0.5)),"ERRO","OK"),"")</f>
        <v/>
      </c>
      <c r="I191" s="27" t="str">
        <f aca="false">IF(COUNTA('Lista de Preços'!$A180:$W180)&gt;0,IF(OR($C191="ERRO",$D191="ERRO",$E191="ERRO",$F191="ERRO",$G191="ERRO",$H191="ERRO"),"FALHA","OK"),"")</f>
        <v/>
      </c>
    </row>
    <row r="192" customFormat="false" ht="15" hidden="false" customHeight="false" outlineLevel="0" collapsed="false">
      <c r="A192" s="26" t="n">
        <f aca="false">'Lista de Preços'!$A181</f>
        <v>0</v>
      </c>
      <c r="B192" s="26" t="n">
        <f aca="false">'Lista de Preços'!$B181</f>
        <v>0</v>
      </c>
      <c r="C192" s="27" t="str">
        <f aca="false">IF(COUNTA('Lista de Preços'!$A181:$W181)&gt;0,IF((COUNTBLANK('Lista de Preços'!$A181)+COUNTBLANK('Lista de Preços'!$B181)+COUNTBLANK('Lista de Preços'!$C181)+COUNTBLANK('Lista de Preços'!$D181)+COUNTBLANK('Lista de Preços'!$E181)+COUNTBLANK('Lista de Preços'!$F181)+COUNTBLANK('Lista de Preços'!$L181)+COUNTBLANK('Lista de Preços'!$M181)+COUNTBLANK('Lista de Preços'!$P181)+COUNTBLANK('Lista de Preços'!$U181)+COUNTBLANK('Lista de Preços'!$V181))&gt;0,"ERRO","OK"),"")</f>
        <v/>
      </c>
      <c r="D192" s="27" t="str">
        <f aca="false">IF(COUNTA('Lista de Preços'!$A181:$W181)&gt;0,IF(OR(AND('Lista de Preços'!$L181&lt;&gt;"",NOT(ISNUMBER('Lista de Preços'!$L181))),AND('Lista de Preços'!$M181&lt;&gt;"",NOT(ISNUMBER('Lista de Preços'!$M181)))),"ERRO","OK"),"")</f>
        <v/>
      </c>
      <c r="E192" s="27" t="str">
        <f aca="false">IF(COUNTA('Lista de Preços'!$A181:$W181)&gt;0,IF(AND(ISNUMBER('Lista de Preços'!$L181),ISNUMBER('Lista de Preços'!$M181),'Lista de Preços'!$L181&gt;'Lista de Preços'!$M181),"ERRO","OK"),"")</f>
        <v/>
      </c>
      <c r="F192" s="27" t="str">
        <f aca="true">IF(COUNTA('Lista de Preços'!$A181:$W181)&gt;0,IF(AND('Lista de Preços'!$S181&lt;&gt;"",ISNUMBER('Lista de Preços'!$S181),'Lista de Preços'!$S181&lt;TODAY()),"ERRO","OK"),"")</f>
        <v/>
      </c>
      <c r="G192" s="27" t="str">
        <f aca="false">IF(COUNTA('Lista de Preços'!$A181:$W181)&gt;0,IF(AND('Lista de Preços'!$A181&lt;&gt;"",COUNTIF('Lista de Preços'!$A$4:$A$503,'Lista de Preços'!$A181)&gt;1),"ERRO","OK"),"")</f>
        <v/>
      </c>
      <c r="H192" s="27" t="str">
        <f aca="false">IF(COUNTA('Lista de Preços'!$A181:$W181)&gt;0,IF(AND('Lista de Preços'!$N181&lt;&gt;"",ISNUMBER('Lista de Preços'!$N181),OR('Lista de Preços'!$N181&lt;0,'Lista de Preços'!$N181&gt;0.5)),"ERRO","OK"),"")</f>
        <v/>
      </c>
      <c r="I192" s="27" t="str">
        <f aca="false">IF(COUNTA('Lista de Preços'!$A181:$W181)&gt;0,IF(OR($C192="ERRO",$D192="ERRO",$E192="ERRO",$F192="ERRO",$G192="ERRO",$H192="ERRO"),"FALHA","OK"),"")</f>
        <v/>
      </c>
    </row>
    <row r="193" customFormat="false" ht="15" hidden="false" customHeight="false" outlineLevel="0" collapsed="false">
      <c r="A193" s="26" t="n">
        <f aca="false">'Lista de Preços'!$A182</f>
        <v>0</v>
      </c>
      <c r="B193" s="26" t="n">
        <f aca="false">'Lista de Preços'!$B182</f>
        <v>0</v>
      </c>
      <c r="C193" s="27" t="str">
        <f aca="false">IF(COUNTA('Lista de Preços'!$A182:$W182)&gt;0,IF((COUNTBLANK('Lista de Preços'!$A182)+COUNTBLANK('Lista de Preços'!$B182)+COUNTBLANK('Lista de Preços'!$C182)+COUNTBLANK('Lista de Preços'!$D182)+COUNTBLANK('Lista de Preços'!$E182)+COUNTBLANK('Lista de Preços'!$F182)+COUNTBLANK('Lista de Preços'!$L182)+COUNTBLANK('Lista de Preços'!$M182)+COUNTBLANK('Lista de Preços'!$P182)+COUNTBLANK('Lista de Preços'!$U182)+COUNTBLANK('Lista de Preços'!$V182))&gt;0,"ERRO","OK"),"")</f>
        <v/>
      </c>
      <c r="D193" s="27" t="str">
        <f aca="false">IF(COUNTA('Lista de Preços'!$A182:$W182)&gt;0,IF(OR(AND('Lista de Preços'!$L182&lt;&gt;"",NOT(ISNUMBER('Lista de Preços'!$L182))),AND('Lista de Preços'!$M182&lt;&gt;"",NOT(ISNUMBER('Lista de Preços'!$M182)))),"ERRO","OK"),"")</f>
        <v/>
      </c>
      <c r="E193" s="27" t="str">
        <f aca="false">IF(COUNTA('Lista de Preços'!$A182:$W182)&gt;0,IF(AND(ISNUMBER('Lista de Preços'!$L182),ISNUMBER('Lista de Preços'!$M182),'Lista de Preços'!$L182&gt;'Lista de Preços'!$M182),"ERRO","OK"),"")</f>
        <v/>
      </c>
      <c r="F193" s="27" t="str">
        <f aca="true">IF(COUNTA('Lista de Preços'!$A182:$W182)&gt;0,IF(AND('Lista de Preços'!$S182&lt;&gt;"",ISNUMBER('Lista de Preços'!$S182),'Lista de Preços'!$S182&lt;TODAY()),"ERRO","OK"),"")</f>
        <v/>
      </c>
      <c r="G193" s="27" t="str">
        <f aca="false">IF(COUNTA('Lista de Preços'!$A182:$W182)&gt;0,IF(AND('Lista de Preços'!$A182&lt;&gt;"",COUNTIF('Lista de Preços'!$A$4:$A$503,'Lista de Preços'!$A182)&gt;1),"ERRO","OK"),"")</f>
        <v/>
      </c>
      <c r="H193" s="27" t="str">
        <f aca="false">IF(COUNTA('Lista de Preços'!$A182:$W182)&gt;0,IF(AND('Lista de Preços'!$N182&lt;&gt;"",ISNUMBER('Lista de Preços'!$N182),OR('Lista de Preços'!$N182&lt;0,'Lista de Preços'!$N182&gt;0.5)),"ERRO","OK"),"")</f>
        <v/>
      </c>
      <c r="I193" s="27" t="str">
        <f aca="false">IF(COUNTA('Lista de Preços'!$A182:$W182)&gt;0,IF(OR($C193="ERRO",$D193="ERRO",$E193="ERRO",$F193="ERRO",$G193="ERRO",$H193="ERRO"),"FALHA","OK"),"")</f>
        <v/>
      </c>
    </row>
    <row r="194" customFormat="false" ht="15" hidden="false" customHeight="false" outlineLevel="0" collapsed="false">
      <c r="A194" s="26" t="n">
        <f aca="false">'Lista de Preços'!$A183</f>
        <v>0</v>
      </c>
      <c r="B194" s="26" t="n">
        <f aca="false">'Lista de Preços'!$B183</f>
        <v>0</v>
      </c>
      <c r="C194" s="27" t="str">
        <f aca="false">IF(COUNTA('Lista de Preços'!$A183:$W183)&gt;0,IF((COUNTBLANK('Lista de Preços'!$A183)+COUNTBLANK('Lista de Preços'!$B183)+COUNTBLANK('Lista de Preços'!$C183)+COUNTBLANK('Lista de Preços'!$D183)+COUNTBLANK('Lista de Preços'!$E183)+COUNTBLANK('Lista de Preços'!$F183)+COUNTBLANK('Lista de Preços'!$L183)+COUNTBLANK('Lista de Preços'!$M183)+COUNTBLANK('Lista de Preços'!$P183)+COUNTBLANK('Lista de Preços'!$U183)+COUNTBLANK('Lista de Preços'!$V183))&gt;0,"ERRO","OK"),"")</f>
        <v/>
      </c>
      <c r="D194" s="27" t="str">
        <f aca="false">IF(COUNTA('Lista de Preços'!$A183:$W183)&gt;0,IF(OR(AND('Lista de Preços'!$L183&lt;&gt;"",NOT(ISNUMBER('Lista de Preços'!$L183))),AND('Lista de Preços'!$M183&lt;&gt;"",NOT(ISNUMBER('Lista de Preços'!$M183)))),"ERRO","OK"),"")</f>
        <v/>
      </c>
      <c r="E194" s="27" t="str">
        <f aca="false">IF(COUNTA('Lista de Preços'!$A183:$W183)&gt;0,IF(AND(ISNUMBER('Lista de Preços'!$L183),ISNUMBER('Lista de Preços'!$M183),'Lista de Preços'!$L183&gt;'Lista de Preços'!$M183),"ERRO","OK"),"")</f>
        <v/>
      </c>
      <c r="F194" s="27" t="str">
        <f aca="true">IF(COUNTA('Lista de Preços'!$A183:$W183)&gt;0,IF(AND('Lista de Preços'!$S183&lt;&gt;"",ISNUMBER('Lista de Preços'!$S183),'Lista de Preços'!$S183&lt;TODAY()),"ERRO","OK"),"")</f>
        <v/>
      </c>
      <c r="G194" s="27" t="str">
        <f aca="false">IF(COUNTA('Lista de Preços'!$A183:$W183)&gt;0,IF(AND('Lista de Preços'!$A183&lt;&gt;"",COUNTIF('Lista de Preços'!$A$4:$A$503,'Lista de Preços'!$A183)&gt;1),"ERRO","OK"),"")</f>
        <v/>
      </c>
      <c r="H194" s="27" t="str">
        <f aca="false">IF(COUNTA('Lista de Preços'!$A183:$W183)&gt;0,IF(AND('Lista de Preços'!$N183&lt;&gt;"",ISNUMBER('Lista de Preços'!$N183),OR('Lista de Preços'!$N183&lt;0,'Lista de Preços'!$N183&gt;0.5)),"ERRO","OK"),"")</f>
        <v/>
      </c>
      <c r="I194" s="27" t="str">
        <f aca="false">IF(COUNTA('Lista de Preços'!$A183:$W183)&gt;0,IF(OR($C194="ERRO",$D194="ERRO",$E194="ERRO",$F194="ERRO",$G194="ERRO",$H194="ERRO"),"FALHA","OK"),"")</f>
        <v/>
      </c>
    </row>
    <row r="195" customFormat="false" ht="15" hidden="false" customHeight="false" outlineLevel="0" collapsed="false">
      <c r="A195" s="26" t="n">
        <f aca="false">'Lista de Preços'!$A184</f>
        <v>0</v>
      </c>
      <c r="B195" s="26" t="n">
        <f aca="false">'Lista de Preços'!$B184</f>
        <v>0</v>
      </c>
      <c r="C195" s="27" t="str">
        <f aca="false">IF(COUNTA('Lista de Preços'!$A184:$W184)&gt;0,IF((COUNTBLANK('Lista de Preços'!$A184)+COUNTBLANK('Lista de Preços'!$B184)+COUNTBLANK('Lista de Preços'!$C184)+COUNTBLANK('Lista de Preços'!$D184)+COUNTBLANK('Lista de Preços'!$E184)+COUNTBLANK('Lista de Preços'!$F184)+COUNTBLANK('Lista de Preços'!$L184)+COUNTBLANK('Lista de Preços'!$M184)+COUNTBLANK('Lista de Preços'!$P184)+COUNTBLANK('Lista de Preços'!$U184)+COUNTBLANK('Lista de Preços'!$V184))&gt;0,"ERRO","OK"),"")</f>
        <v/>
      </c>
      <c r="D195" s="27" t="str">
        <f aca="false">IF(COUNTA('Lista de Preços'!$A184:$W184)&gt;0,IF(OR(AND('Lista de Preços'!$L184&lt;&gt;"",NOT(ISNUMBER('Lista de Preços'!$L184))),AND('Lista de Preços'!$M184&lt;&gt;"",NOT(ISNUMBER('Lista de Preços'!$M184)))),"ERRO","OK"),"")</f>
        <v/>
      </c>
      <c r="E195" s="27" t="str">
        <f aca="false">IF(COUNTA('Lista de Preços'!$A184:$W184)&gt;0,IF(AND(ISNUMBER('Lista de Preços'!$L184),ISNUMBER('Lista de Preços'!$M184),'Lista de Preços'!$L184&gt;'Lista de Preços'!$M184),"ERRO","OK"),"")</f>
        <v/>
      </c>
      <c r="F195" s="27" t="str">
        <f aca="true">IF(COUNTA('Lista de Preços'!$A184:$W184)&gt;0,IF(AND('Lista de Preços'!$S184&lt;&gt;"",ISNUMBER('Lista de Preços'!$S184),'Lista de Preços'!$S184&lt;TODAY()),"ERRO","OK"),"")</f>
        <v/>
      </c>
      <c r="G195" s="27" t="str">
        <f aca="false">IF(COUNTA('Lista de Preços'!$A184:$W184)&gt;0,IF(AND('Lista de Preços'!$A184&lt;&gt;"",COUNTIF('Lista de Preços'!$A$4:$A$503,'Lista de Preços'!$A184)&gt;1),"ERRO","OK"),"")</f>
        <v/>
      </c>
      <c r="H195" s="27" t="str">
        <f aca="false">IF(COUNTA('Lista de Preços'!$A184:$W184)&gt;0,IF(AND('Lista de Preços'!$N184&lt;&gt;"",ISNUMBER('Lista de Preços'!$N184),OR('Lista de Preços'!$N184&lt;0,'Lista de Preços'!$N184&gt;0.5)),"ERRO","OK"),"")</f>
        <v/>
      </c>
      <c r="I195" s="27" t="str">
        <f aca="false">IF(COUNTA('Lista de Preços'!$A184:$W184)&gt;0,IF(OR($C195="ERRO",$D195="ERRO",$E195="ERRO",$F195="ERRO",$G195="ERRO",$H195="ERRO"),"FALHA","OK"),"")</f>
        <v/>
      </c>
    </row>
    <row r="196" customFormat="false" ht="15" hidden="false" customHeight="false" outlineLevel="0" collapsed="false">
      <c r="A196" s="26" t="n">
        <f aca="false">'Lista de Preços'!$A185</f>
        <v>0</v>
      </c>
      <c r="B196" s="26" t="n">
        <f aca="false">'Lista de Preços'!$B185</f>
        <v>0</v>
      </c>
      <c r="C196" s="27" t="str">
        <f aca="false">IF(COUNTA('Lista de Preços'!$A185:$W185)&gt;0,IF((COUNTBLANK('Lista de Preços'!$A185)+COUNTBLANK('Lista de Preços'!$B185)+COUNTBLANK('Lista de Preços'!$C185)+COUNTBLANK('Lista de Preços'!$D185)+COUNTBLANK('Lista de Preços'!$E185)+COUNTBLANK('Lista de Preços'!$F185)+COUNTBLANK('Lista de Preços'!$L185)+COUNTBLANK('Lista de Preços'!$M185)+COUNTBLANK('Lista de Preços'!$P185)+COUNTBLANK('Lista de Preços'!$U185)+COUNTBLANK('Lista de Preços'!$V185))&gt;0,"ERRO","OK"),"")</f>
        <v/>
      </c>
      <c r="D196" s="27" t="str">
        <f aca="false">IF(COUNTA('Lista de Preços'!$A185:$W185)&gt;0,IF(OR(AND('Lista de Preços'!$L185&lt;&gt;"",NOT(ISNUMBER('Lista de Preços'!$L185))),AND('Lista de Preços'!$M185&lt;&gt;"",NOT(ISNUMBER('Lista de Preços'!$M185)))),"ERRO","OK"),"")</f>
        <v/>
      </c>
      <c r="E196" s="27" t="str">
        <f aca="false">IF(COUNTA('Lista de Preços'!$A185:$W185)&gt;0,IF(AND(ISNUMBER('Lista de Preços'!$L185),ISNUMBER('Lista de Preços'!$M185),'Lista de Preços'!$L185&gt;'Lista de Preços'!$M185),"ERRO","OK"),"")</f>
        <v/>
      </c>
      <c r="F196" s="27" t="str">
        <f aca="true">IF(COUNTA('Lista de Preços'!$A185:$W185)&gt;0,IF(AND('Lista de Preços'!$S185&lt;&gt;"",ISNUMBER('Lista de Preços'!$S185),'Lista de Preços'!$S185&lt;TODAY()),"ERRO","OK"),"")</f>
        <v/>
      </c>
      <c r="G196" s="27" t="str">
        <f aca="false">IF(COUNTA('Lista de Preços'!$A185:$W185)&gt;0,IF(AND('Lista de Preços'!$A185&lt;&gt;"",COUNTIF('Lista de Preços'!$A$4:$A$503,'Lista de Preços'!$A185)&gt;1),"ERRO","OK"),"")</f>
        <v/>
      </c>
      <c r="H196" s="27" t="str">
        <f aca="false">IF(COUNTA('Lista de Preços'!$A185:$W185)&gt;0,IF(AND('Lista de Preços'!$N185&lt;&gt;"",ISNUMBER('Lista de Preços'!$N185),OR('Lista de Preços'!$N185&lt;0,'Lista de Preços'!$N185&gt;0.5)),"ERRO","OK"),"")</f>
        <v/>
      </c>
      <c r="I196" s="27" t="str">
        <f aca="false">IF(COUNTA('Lista de Preços'!$A185:$W185)&gt;0,IF(OR($C196="ERRO",$D196="ERRO",$E196="ERRO",$F196="ERRO",$G196="ERRO",$H196="ERRO"),"FALHA","OK"),"")</f>
        <v/>
      </c>
    </row>
    <row r="197" customFormat="false" ht="15" hidden="false" customHeight="false" outlineLevel="0" collapsed="false">
      <c r="A197" s="26" t="n">
        <f aca="false">'Lista de Preços'!$A186</f>
        <v>0</v>
      </c>
      <c r="B197" s="26" t="n">
        <f aca="false">'Lista de Preços'!$B186</f>
        <v>0</v>
      </c>
      <c r="C197" s="27" t="str">
        <f aca="false">IF(COUNTA('Lista de Preços'!$A186:$W186)&gt;0,IF((COUNTBLANK('Lista de Preços'!$A186)+COUNTBLANK('Lista de Preços'!$B186)+COUNTBLANK('Lista de Preços'!$C186)+COUNTBLANK('Lista de Preços'!$D186)+COUNTBLANK('Lista de Preços'!$E186)+COUNTBLANK('Lista de Preços'!$F186)+COUNTBLANK('Lista de Preços'!$L186)+COUNTBLANK('Lista de Preços'!$M186)+COUNTBLANK('Lista de Preços'!$P186)+COUNTBLANK('Lista de Preços'!$U186)+COUNTBLANK('Lista de Preços'!$V186))&gt;0,"ERRO","OK"),"")</f>
        <v/>
      </c>
      <c r="D197" s="27" t="str">
        <f aca="false">IF(COUNTA('Lista de Preços'!$A186:$W186)&gt;0,IF(OR(AND('Lista de Preços'!$L186&lt;&gt;"",NOT(ISNUMBER('Lista de Preços'!$L186))),AND('Lista de Preços'!$M186&lt;&gt;"",NOT(ISNUMBER('Lista de Preços'!$M186)))),"ERRO","OK"),"")</f>
        <v/>
      </c>
      <c r="E197" s="27" t="str">
        <f aca="false">IF(COUNTA('Lista de Preços'!$A186:$W186)&gt;0,IF(AND(ISNUMBER('Lista de Preços'!$L186),ISNUMBER('Lista de Preços'!$M186),'Lista de Preços'!$L186&gt;'Lista de Preços'!$M186),"ERRO","OK"),"")</f>
        <v/>
      </c>
      <c r="F197" s="27" t="str">
        <f aca="true">IF(COUNTA('Lista de Preços'!$A186:$W186)&gt;0,IF(AND('Lista de Preços'!$S186&lt;&gt;"",ISNUMBER('Lista de Preços'!$S186),'Lista de Preços'!$S186&lt;TODAY()),"ERRO","OK"),"")</f>
        <v/>
      </c>
      <c r="G197" s="27" t="str">
        <f aca="false">IF(COUNTA('Lista de Preços'!$A186:$W186)&gt;0,IF(AND('Lista de Preços'!$A186&lt;&gt;"",COUNTIF('Lista de Preços'!$A$4:$A$503,'Lista de Preços'!$A186)&gt;1),"ERRO","OK"),"")</f>
        <v/>
      </c>
      <c r="H197" s="27" t="str">
        <f aca="false">IF(COUNTA('Lista de Preços'!$A186:$W186)&gt;0,IF(AND('Lista de Preços'!$N186&lt;&gt;"",ISNUMBER('Lista de Preços'!$N186),OR('Lista de Preços'!$N186&lt;0,'Lista de Preços'!$N186&gt;0.5)),"ERRO","OK"),"")</f>
        <v/>
      </c>
      <c r="I197" s="27" t="str">
        <f aca="false">IF(COUNTA('Lista de Preços'!$A186:$W186)&gt;0,IF(OR($C197="ERRO",$D197="ERRO",$E197="ERRO",$F197="ERRO",$G197="ERRO",$H197="ERRO"),"FALHA","OK"),"")</f>
        <v/>
      </c>
    </row>
    <row r="198" customFormat="false" ht="15" hidden="false" customHeight="false" outlineLevel="0" collapsed="false">
      <c r="A198" s="26" t="n">
        <f aca="false">'Lista de Preços'!$A187</f>
        <v>0</v>
      </c>
      <c r="B198" s="26" t="n">
        <f aca="false">'Lista de Preços'!$B187</f>
        <v>0</v>
      </c>
      <c r="C198" s="27" t="str">
        <f aca="false">IF(COUNTA('Lista de Preços'!$A187:$W187)&gt;0,IF((COUNTBLANK('Lista de Preços'!$A187)+COUNTBLANK('Lista de Preços'!$B187)+COUNTBLANK('Lista de Preços'!$C187)+COUNTBLANK('Lista de Preços'!$D187)+COUNTBLANK('Lista de Preços'!$E187)+COUNTBLANK('Lista de Preços'!$F187)+COUNTBLANK('Lista de Preços'!$L187)+COUNTBLANK('Lista de Preços'!$M187)+COUNTBLANK('Lista de Preços'!$P187)+COUNTBLANK('Lista de Preços'!$U187)+COUNTBLANK('Lista de Preços'!$V187))&gt;0,"ERRO","OK"),"")</f>
        <v/>
      </c>
      <c r="D198" s="27" t="str">
        <f aca="false">IF(COUNTA('Lista de Preços'!$A187:$W187)&gt;0,IF(OR(AND('Lista de Preços'!$L187&lt;&gt;"",NOT(ISNUMBER('Lista de Preços'!$L187))),AND('Lista de Preços'!$M187&lt;&gt;"",NOT(ISNUMBER('Lista de Preços'!$M187)))),"ERRO","OK"),"")</f>
        <v/>
      </c>
      <c r="E198" s="27" t="str">
        <f aca="false">IF(COUNTA('Lista de Preços'!$A187:$W187)&gt;0,IF(AND(ISNUMBER('Lista de Preços'!$L187),ISNUMBER('Lista de Preços'!$M187),'Lista de Preços'!$L187&gt;'Lista de Preços'!$M187),"ERRO","OK"),"")</f>
        <v/>
      </c>
      <c r="F198" s="27" t="str">
        <f aca="true">IF(COUNTA('Lista de Preços'!$A187:$W187)&gt;0,IF(AND('Lista de Preços'!$S187&lt;&gt;"",ISNUMBER('Lista de Preços'!$S187),'Lista de Preços'!$S187&lt;TODAY()),"ERRO","OK"),"")</f>
        <v/>
      </c>
      <c r="G198" s="27" t="str">
        <f aca="false">IF(COUNTA('Lista de Preços'!$A187:$W187)&gt;0,IF(AND('Lista de Preços'!$A187&lt;&gt;"",COUNTIF('Lista de Preços'!$A$4:$A$503,'Lista de Preços'!$A187)&gt;1),"ERRO","OK"),"")</f>
        <v/>
      </c>
      <c r="H198" s="27" t="str">
        <f aca="false">IF(COUNTA('Lista de Preços'!$A187:$W187)&gt;0,IF(AND('Lista de Preços'!$N187&lt;&gt;"",ISNUMBER('Lista de Preços'!$N187),OR('Lista de Preços'!$N187&lt;0,'Lista de Preços'!$N187&gt;0.5)),"ERRO","OK"),"")</f>
        <v/>
      </c>
      <c r="I198" s="27" t="str">
        <f aca="false">IF(COUNTA('Lista de Preços'!$A187:$W187)&gt;0,IF(OR($C198="ERRO",$D198="ERRO",$E198="ERRO",$F198="ERRO",$G198="ERRO",$H198="ERRO"),"FALHA","OK"),"")</f>
        <v/>
      </c>
    </row>
    <row r="199" customFormat="false" ht="15" hidden="false" customHeight="false" outlineLevel="0" collapsed="false">
      <c r="A199" s="26" t="n">
        <f aca="false">'Lista de Preços'!$A188</f>
        <v>0</v>
      </c>
      <c r="B199" s="26" t="n">
        <f aca="false">'Lista de Preços'!$B188</f>
        <v>0</v>
      </c>
      <c r="C199" s="27" t="str">
        <f aca="false">IF(COUNTA('Lista de Preços'!$A188:$W188)&gt;0,IF((COUNTBLANK('Lista de Preços'!$A188)+COUNTBLANK('Lista de Preços'!$B188)+COUNTBLANK('Lista de Preços'!$C188)+COUNTBLANK('Lista de Preços'!$D188)+COUNTBLANK('Lista de Preços'!$E188)+COUNTBLANK('Lista de Preços'!$F188)+COUNTBLANK('Lista de Preços'!$L188)+COUNTBLANK('Lista de Preços'!$M188)+COUNTBLANK('Lista de Preços'!$P188)+COUNTBLANK('Lista de Preços'!$U188)+COUNTBLANK('Lista de Preços'!$V188))&gt;0,"ERRO","OK"),"")</f>
        <v/>
      </c>
      <c r="D199" s="27" t="str">
        <f aca="false">IF(COUNTA('Lista de Preços'!$A188:$W188)&gt;0,IF(OR(AND('Lista de Preços'!$L188&lt;&gt;"",NOT(ISNUMBER('Lista de Preços'!$L188))),AND('Lista de Preços'!$M188&lt;&gt;"",NOT(ISNUMBER('Lista de Preços'!$M188)))),"ERRO","OK"),"")</f>
        <v/>
      </c>
      <c r="E199" s="27" t="str">
        <f aca="false">IF(COUNTA('Lista de Preços'!$A188:$W188)&gt;0,IF(AND(ISNUMBER('Lista de Preços'!$L188),ISNUMBER('Lista de Preços'!$M188),'Lista de Preços'!$L188&gt;'Lista de Preços'!$M188),"ERRO","OK"),"")</f>
        <v/>
      </c>
      <c r="F199" s="27" t="str">
        <f aca="true">IF(COUNTA('Lista de Preços'!$A188:$W188)&gt;0,IF(AND('Lista de Preços'!$S188&lt;&gt;"",ISNUMBER('Lista de Preços'!$S188),'Lista de Preços'!$S188&lt;TODAY()),"ERRO","OK"),"")</f>
        <v/>
      </c>
      <c r="G199" s="27" t="str">
        <f aca="false">IF(COUNTA('Lista de Preços'!$A188:$W188)&gt;0,IF(AND('Lista de Preços'!$A188&lt;&gt;"",COUNTIF('Lista de Preços'!$A$4:$A$503,'Lista de Preços'!$A188)&gt;1),"ERRO","OK"),"")</f>
        <v/>
      </c>
      <c r="H199" s="27" t="str">
        <f aca="false">IF(COUNTA('Lista de Preços'!$A188:$W188)&gt;0,IF(AND('Lista de Preços'!$N188&lt;&gt;"",ISNUMBER('Lista de Preços'!$N188),OR('Lista de Preços'!$N188&lt;0,'Lista de Preços'!$N188&gt;0.5)),"ERRO","OK"),"")</f>
        <v/>
      </c>
      <c r="I199" s="27" t="str">
        <f aca="false">IF(COUNTA('Lista de Preços'!$A188:$W188)&gt;0,IF(OR($C199="ERRO",$D199="ERRO",$E199="ERRO",$F199="ERRO",$G199="ERRO",$H199="ERRO"),"FALHA","OK"),"")</f>
        <v/>
      </c>
    </row>
    <row r="200" customFormat="false" ht="15" hidden="false" customHeight="false" outlineLevel="0" collapsed="false">
      <c r="A200" s="26" t="n">
        <f aca="false">'Lista de Preços'!$A189</f>
        <v>0</v>
      </c>
      <c r="B200" s="26" t="n">
        <f aca="false">'Lista de Preços'!$B189</f>
        <v>0</v>
      </c>
      <c r="C200" s="27" t="str">
        <f aca="false">IF(COUNTA('Lista de Preços'!$A189:$W189)&gt;0,IF((COUNTBLANK('Lista de Preços'!$A189)+COUNTBLANK('Lista de Preços'!$B189)+COUNTBLANK('Lista de Preços'!$C189)+COUNTBLANK('Lista de Preços'!$D189)+COUNTBLANK('Lista de Preços'!$E189)+COUNTBLANK('Lista de Preços'!$F189)+COUNTBLANK('Lista de Preços'!$L189)+COUNTBLANK('Lista de Preços'!$M189)+COUNTBLANK('Lista de Preços'!$P189)+COUNTBLANK('Lista de Preços'!$U189)+COUNTBLANK('Lista de Preços'!$V189))&gt;0,"ERRO","OK"),"")</f>
        <v/>
      </c>
      <c r="D200" s="27" t="str">
        <f aca="false">IF(COUNTA('Lista de Preços'!$A189:$W189)&gt;0,IF(OR(AND('Lista de Preços'!$L189&lt;&gt;"",NOT(ISNUMBER('Lista de Preços'!$L189))),AND('Lista de Preços'!$M189&lt;&gt;"",NOT(ISNUMBER('Lista de Preços'!$M189)))),"ERRO","OK"),"")</f>
        <v/>
      </c>
      <c r="E200" s="27" t="str">
        <f aca="false">IF(COUNTA('Lista de Preços'!$A189:$W189)&gt;0,IF(AND(ISNUMBER('Lista de Preços'!$L189),ISNUMBER('Lista de Preços'!$M189),'Lista de Preços'!$L189&gt;'Lista de Preços'!$M189),"ERRO","OK"),"")</f>
        <v/>
      </c>
      <c r="F200" s="27" t="str">
        <f aca="true">IF(COUNTA('Lista de Preços'!$A189:$W189)&gt;0,IF(AND('Lista de Preços'!$S189&lt;&gt;"",ISNUMBER('Lista de Preços'!$S189),'Lista de Preços'!$S189&lt;TODAY()),"ERRO","OK"),"")</f>
        <v/>
      </c>
      <c r="G200" s="27" t="str">
        <f aca="false">IF(COUNTA('Lista de Preços'!$A189:$W189)&gt;0,IF(AND('Lista de Preços'!$A189&lt;&gt;"",COUNTIF('Lista de Preços'!$A$4:$A$503,'Lista de Preços'!$A189)&gt;1),"ERRO","OK"),"")</f>
        <v/>
      </c>
      <c r="H200" s="27" t="str">
        <f aca="false">IF(COUNTA('Lista de Preços'!$A189:$W189)&gt;0,IF(AND('Lista de Preços'!$N189&lt;&gt;"",ISNUMBER('Lista de Preços'!$N189),OR('Lista de Preços'!$N189&lt;0,'Lista de Preços'!$N189&gt;0.5)),"ERRO","OK"),"")</f>
        <v/>
      </c>
      <c r="I200" s="27" t="str">
        <f aca="false">IF(COUNTA('Lista de Preços'!$A189:$W189)&gt;0,IF(OR($C200="ERRO",$D200="ERRO",$E200="ERRO",$F200="ERRO",$G200="ERRO",$H200="ERRO"),"FALHA","OK"),"")</f>
        <v/>
      </c>
    </row>
    <row r="201" customFormat="false" ht="15" hidden="false" customHeight="false" outlineLevel="0" collapsed="false">
      <c r="A201" s="26" t="n">
        <f aca="false">'Lista de Preços'!$A190</f>
        <v>0</v>
      </c>
      <c r="B201" s="26" t="n">
        <f aca="false">'Lista de Preços'!$B190</f>
        <v>0</v>
      </c>
      <c r="C201" s="27" t="str">
        <f aca="false">IF(COUNTA('Lista de Preços'!$A190:$W190)&gt;0,IF((COUNTBLANK('Lista de Preços'!$A190)+COUNTBLANK('Lista de Preços'!$B190)+COUNTBLANK('Lista de Preços'!$C190)+COUNTBLANK('Lista de Preços'!$D190)+COUNTBLANK('Lista de Preços'!$E190)+COUNTBLANK('Lista de Preços'!$F190)+COUNTBLANK('Lista de Preços'!$L190)+COUNTBLANK('Lista de Preços'!$M190)+COUNTBLANK('Lista de Preços'!$P190)+COUNTBLANK('Lista de Preços'!$U190)+COUNTBLANK('Lista de Preços'!$V190))&gt;0,"ERRO","OK"),"")</f>
        <v/>
      </c>
      <c r="D201" s="27" t="str">
        <f aca="false">IF(COUNTA('Lista de Preços'!$A190:$W190)&gt;0,IF(OR(AND('Lista de Preços'!$L190&lt;&gt;"",NOT(ISNUMBER('Lista de Preços'!$L190))),AND('Lista de Preços'!$M190&lt;&gt;"",NOT(ISNUMBER('Lista de Preços'!$M190)))),"ERRO","OK"),"")</f>
        <v/>
      </c>
      <c r="E201" s="27" t="str">
        <f aca="false">IF(COUNTA('Lista de Preços'!$A190:$W190)&gt;0,IF(AND(ISNUMBER('Lista de Preços'!$L190),ISNUMBER('Lista de Preços'!$M190),'Lista de Preços'!$L190&gt;'Lista de Preços'!$M190),"ERRO","OK"),"")</f>
        <v/>
      </c>
      <c r="F201" s="27" t="str">
        <f aca="true">IF(COUNTA('Lista de Preços'!$A190:$W190)&gt;0,IF(AND('Lista de Preços'!$S190&lt;&gt;"",ISNUMBER('Lista de Preços'!$S190),'Lista de Preços'!$S190&lt;TODAY()),"ERRO","OK"),"")</f>
        <v/>
      </c>
      <c r="G201" s="27" t="str">
        <f aca="false">IF(COUNTA('Lista de Preços'!$A190:$W190)&gt;0,IF(AND('Lista de Preços'!$A190&lt;&gt;"",COUNTIF('Lista de Preços'!$A$4:$A$503,'Lista de Preços'!$A190)&gt;1),"ERRO","OK"),"")</f>
        <v/>
      </c>
      <c r="H201" s="27" t="str">
        <f aca="false">IF(COUNTA('Lista de Preços'!$A190:$W190)&gt;0,IF(AND('Lista de Preços'!$N190&lt;&gt;"",ISNUMBER('Lista de Preços'!$N190),OR('Lista de Preços'!$N190&lt;0,'Lista de Preços'!$N190&gt;0.5)),"ERRO","OK"),"")</f>
        <v/>
      </c>
      <c r="I201" s="27" t="str">
        <f aca="false">IF(COUNTA('Lista de Preços'!$A190:$W190)&gt;0,IF(OR($C201="ERRO",$D201="ERRO",$E201="ERRO",$F201="ERRO",$G201="ERRO",$H201="ERRO"),"FALHA","OK"),"")</f>
        <v/>
      </c>
    </row>
    <row r="202" customFormat="false" ht="15" hidden="false" customHeight="false" outlineLevel="0" collapsed="false">
      <c r="A202" s="26" t="n">
        <f aca="false">'Lista de Preços'!$A191</f>
        <v>0</v>
      </c>
      <c r="B202" s="26" t="n">
        <f aca="false">'Lista de Preços'!$B191</f>
        <v>0</v>
      </c>
      <c r="C202" s="27" t="str">
        <f aca="false">IF(COUNTA('Lista de Preços'!$A191:$W191)&gt;0,IF((COUNTBLANK('Lista de Preços'!$A191)+COUNTBLANK('Lista de Preços'!$B191)+COUNTBLANK('Lista de Preços'!$C191)+COUNTBLANK('Lista de Preços'!$D191)+COUNTBLANK('Lista de Preços'!$E191)+COUNTBLANK('Lista de Preços'!$F191)+COUNTBLANK('Lista de Preços'!$L191)+COUNTBLANK('Lista de Preços'!$M191)+COUNTBLANK('Lista de Preços'!$P191)+COUNTBLANK('Lista de Preços'!$U191)+COUNTBLANK('Lista de Preços'!$V191))&gt;0,"ERRO","OK"),"")</f>
        <v/>
      </c>
      <c r="D202" s="27" t="str">
        <f aca="false">IF(COUNTA('Lista de Preços'!$A191:$W191)&gt;0,IF(OR(AND('Lista de Preços'!$L191&lt;&gt;"",NOT(ISNUMBER('Lista de Preços'!$L191))),AND('Lista de Preços'!$M191&lt;&gt;"",NOT(ISNUMBER('Lista de Preços'!$M191)))),"ERRO","OK"),"")</f>
        <v/>
      </c>
      <c r="E202" s="27" t="str">
        <f aca="false">IF(COUNTA('Lista de Preços'!$A191:$W191)&gt;0,IF(AND(ISNUMBER('Lista de Preços'!$L191),ISNUMBER('Lista de Preços'!$M191),'Lista de Preços'!$L191&gt;'Lista de Preços'!$M191),"ERRO","OK"),"")</f>
        <v/>
      </c>
      <c r="F202" s="27" t="str">
        <f aca="true">IF(COUNTA('Lista de Preços'!$A191:$W191)&gt;0,IF(AND('Lista de Preços'!$S191&lt;&gt;"",ISNUMBER('Lista de Preços'!$S191),'Lista de Preços'!$S191&lt;TODAY()),"ERRO","OK"),"")</f>
        <v/>
      </c>
      <c r="G202" s="27" t="str">
        <f aca="false">IF(COUNTA('Lista de Preços'!$A191:$W191)&gt;0,IF(AND('Lista de Preços'!$A191&lt;&gt;"",COUNTIF('Lista de Preços'!$A$4:$A$503,'Lista de Preços'!$A191)&gt;1),"ERRO","OK"),"")</f>
        <v/>
      </c>
      <c r="H202" s="27" t="str">
        <f aca="false">IF(COUNTA('Lista de Preços'!$A191:$W191)&gt;0,IF(AND('Lista de Preços'!$N191&lt;&gt;"",ISNUMBER('Lista de Preços'!$N191),OR('Lista de Preços'!$N191&lt;0,'Lista de Preços'!$N191&gt;0.5)),"ERRO","OK"),"")</f>
        <v/>
      </c>
      <c r="I202" s="27" t="str">
        <f aca="false">IF(COUNTA('Lista de Preços'!$A191:$W191)&gt;0,IF(OR($C202="ERRO",$D202="ERRO",$E202="ERRO",$F202="ERRO",$G202="ERRO",$H202="ERRO"),"FALHA","OK"),"")</f>
        <v/>
      </c>
    </row>
    <row r="203" customFormat="false" ht="15" hidden="false" customHeight="false" outlineLevel="0" collapsed="false">
      <c r="A203" s="26" t="n">
        <f aca="false">'Lista de Preços'!$A192</f>
        <v>0</v>
      </c>
      <c r="B203" s="26" t="n">
        <f aca="false">'Lista de Preços'!$B192</f>
        <v>0</v>
      </c>
      <c r="C203" s="27" t="str">
        <f aca="false">IF(COUNTA('Lista de Preços'!$A192:$W192)&gt;0,IF((COUNTBLANK('Lista de Preços'!$A192)+COUNTBLANK('Lista de Preços'!$B192)+COUNTBLANK('Lista de Preços'!$C192)+COUNTBLANK('Lista de Preços'!$D192)+COUNTBLANK('Lista de Preços'!$E192)+COUNTBLANK('Lista de Preços'!$F192)+COUNTBLANK('Lista de Preços'!$L192)+COUNTBLANK('Lista de Preços'!$M192)+COUNTBLANK('Lista de Preços'!$P192)+COUNTBLANK('Lista de Preços'!$U192)+COUNTBLANK('Lista de Preços'!$V192))&gt;0,"ERRO","OK"),"")</f>
        <v/>
      </c>
      <c r="D203" s="27" t="str">
        <f aca="false">IF(COUNTA('Lista de Preços'!$A192:$W192)&gt;0,IF(OR(AND('Lista de Preços'!$L192&lt;&gt;"",NOT(ISNUMBER('Lista de Preços'!$L192))),AND('Lista de Preços'!$M192&lt;&gt;"",NOT(ISNUMBER('Lista de Preços'!$M192)))),"ERRO","OK"),"")</f>
        <v/>
      </c>
      <c r="E203" s="27" t="str">
        <f aca="false">IF(COUNTA('Lista de Preços'!$A192:$W192)&gt;0,IF(AND(ISNUMBER('Lista de Preços'!$L192),ISNUMBER('Lista de Preços'!$M192),'Lista de Preços'!$L192&gt;'Lista de Preços'!$M192),"ERRO","OK"),"")</f>
        <v/>
      </c>
      <c r="F203" s="27" t="str">
        <f aca="true">IF(COUNTA('Lista de Preços'!$A192:$W192)&gt;0,IF(AND('Lista de Preços'!$S192&lt;&gt;"",ISNUMBER('Lista de Preços'!$S192),'Lista de Preços'!$S192&lt;TODAY()),"ERRO","OK"),"")</f>
        <v/>
      </c>
      <c r="G203" s="27" t="str">
        <f aca="false">IF(COUNTA('Lista de Preços'!$A192:$W192)&gt;0,IF(AND('Lista de Preços'!$A192&lt;&gt;"",COUNTIF('Lista de Preços'!$A$4:$A$503,'Lista de Preços'!$A192)&gt;1),"ERRO","OK"),"")</f>
        <v/>
      </c>
      <c r="H203" s="27" t="str">
        <f aca="false">IF(COUNTA('Lista de Preços'!$A192:$W192)&gt;0,IF(AND('Lista de Preços'!$N192&lt;&gt;"",ISNUMBER('Lista de Preços'!$N192),OR('Lista de Preços'!$N192&lt;0,'Lista de Preços'!$N192&gt;0.5)),"ERRO","OK"),"")</f>
        <v/>
      </c>
      <c r="I203" s="27" t="str">
        <f aca="false">IF(COUNTA('Lista de Preços'!$A192:$W192)&gt;0,IF(OR($C203="ERRO",$D203="ERRO",$E203="ERRO",$F203="ERRO",$G203="ERRO",$H203="ERRO"),"FALHA","OK"),"")</f>
        <v/>
      </c>
    </row>
    <row r="204" customFormat="false" ht="15" hidden="false" customHeight="false" outlineLevel="0" collapsed="false">
      <c r="A204" s="26" t="n">
        <f aca="false">'Lista de Preços'!$A193</f>
        <v>0</v>
      </c>
      <c r="B204" s="26" t="n">
        <f aca="false">'Lista de Preços'!$B193</f>
        <v>0</v>
      </c>
      <c r="C204" s="27" t="str">
        <f aca="false">IF(COUNTA('Lista de Preços'!$A193:$W193)&gt;0,IF((COUNTBLANK('Lista de Preços'!$A193)+COUNTBLANK('Lista de Preços'!$B193)+COUNTBLANK('Lista de Preços'!$C193)+COUNTBLANK('Lista de Preços'!$D193)+COUNTBLANK('Lista de Preços'!$E193)+COUNTBLANK('Lista de Preços'!$F193)+COUNTBLANK('Lista de Preços'!$L193)+COUNTBLANK('Lista de Preços'!$M193)+COUNTBLANK('Lista de Preços'!$P193)+COUNTBLANK('Lista de Preços'!$U193)+COUNTBLANK('Lista de Preços'!$V193))&gt;0,"ERRO","OK"),"")</f>
        <v/>
      </c>
      <c r="D204" s="27" t="str">
        <f aca="false">IF(COUNTA('Lista de Preços'!$A193:$W193)&gt;0,IF(OR(AND('Lista de Preços'!$L193&lt;&gt;"",NOT(ISNUMBER('Lista de Preços'!$L193))),AND('Lista de Preços'!$M193&lt;&gt;"",NOT(ISNUMBER('Lista de Preços'!$M193)))),"ERRO","OK"),"")</f>
        <v/>
      </c>
      <c r="E204" s="27" t="str">
        <f aca="false">IF(COUNTA('Lista de Preços'!$A193:$W193)&gt;0,IF(AND(ISNUMBER('Lista de Preços'!$L193),ISNUMBER('Lista de Preços'!$M193),'Lista de Preços'!$L193&gt;'Lista de Preços'!$M193),"ERRO","OK"),"")</f>
        <v/>
      </c>
      <c r="F204" s="27" t="str">
        <f aca="true">IF(COUNTA('Lista de Preços'!$A193:$W193)&gt;0,IF(AND('Lista de Preços'!$S193&lt;&gt;"",ISNUMBER('Lista de Preços'!$S193),'Lista de Preços'!$S193&lt;TODAY()),"ERRO","OK"),"")</f>
        <v/>
      </c>
      <c r="G204" s="27" t="str">
        <f aca="false">IF(COUNTA('Lista de Preços'!$A193:$W193)&gt;0,IF(AND('Lista de Preços'!$A193&lt;&gt;"",COUNTIF('Lista de Preços'!$A$4:$A$503,'Lista de Preços'!$A193)&gt;1),"ERRO","OK"),"")</f>
        <v/>
      </c>
      <c r="H204" s="27" t="str">
        <f aca="false">IF(COUNTA('Lista de Preços'!$A193:$W193)&gt;0,IF(AND('Lista de Preços'!$N193&lt;&gt;"",ISNUMBER('Lista de Preços'!$N193),OR('Lista de Preços'!$N193&lt;0,'Lista de Preços'!$N193&gt;0.5)),"ERRO","OK"),"")</f>
        <v/>
      </c>
      <c r="I204" s="27" t="str">
        <f aca="false">IF(COUNTA('Lista de Preços'!$A193:$W193)&gt;0,IF(OR($C204="ERRO",$D204="ERRO",$E204="ERRO",$F204="ERRO",$G204="ERRO",$H204="ERRO"),"FALHA","OK"),"")</f>
        <v/>
      </c>
    </row>
    <row r="205" customFormat="false" ht="15" hidden="false" customHeight="false" outlineLevel="0" collapsed="false">
      <c r="A205" s="26" t="n">
        <f aca="false">'Lista de Preços'!$A194</f>
        <v>0</v>
      </c>
      <c r="B205" s="26" t="n">
        <f aca="false">'Lista de Preços'!$B194</f>
        <v>0</v>
      </c>
      <c r="C205" s="27" t="str">
        <f aca="false">IF(COUNTA('Lista de Preços'!$A194:$W194)&gt;0,IF((COUNTBLANK('Lista de Preços'!$A194)+COUNTBLANK('Lista de Preços'!$B194)+COUNTBLANK('Lista de Preços'!$C194)+COUNTBLANK('Lista de Preços'!$D194)+COUNTBLANK('Lista de Preços'!$E194)+COUNTBLANK('Lista de Preços'!$F194)+COUNTBLANK('Lista de Preços'!$L194)+COUNTBLANK('Lista de Preços'!$M194)+COUNTBLANK('Lista de Preços'!$P194)+COUNTBLANK('Lista de Preços'!$U194)+COUNTBLANK('Lista de Preços'!$V194))&gt;0,"ERRO","OK"),"")</f>
        <v/>
      </c>
      <c r="D205" s="27" t="str">
        <f aca="false">IF(COUNTA('Lista de Preços'!$A194:$W194)&gt;0,IF(OR(AND('Lista de Preços'!$L194&lt;&gt;"",NOT(ISNUMBER('Lista de Preços'!$L194))),AND('Lista de Preços'!$M194&lt;&gt;"",NOT(ISNUMBER('Lista de Preços'!$M194)))),"ERRO","OK"),"")</f>
        <v/>
      </c>
      <c r="E205" s="27" t="str">
        <f aca="false">IF(COUNTA('Lista de Preços'!$A194:$W194)&gt;0,IF(AND(ISNUMBER('Lista de Preços'!$L194),ISNUMBER('Lista de Preços'!$M194),'Lista de Preços'!$L194&gt;'Lista de Preços'!$M194),"ERRO","OK"),"")</f>
        <v/>
      </c>
      <c r="F205" s="27" t="str">
        <f aca="true">IF(COUNTA('Lista de Preços'!$A194:$W194)&gt;0,IF(AND('Lista de Preços'!$S194&lt;&gt;"",ISNUMBER('Lista de Preços'!$S194),'Lista de Preços'!$S194&lt;TODAY()),"ERRO","OK"),"")</f>
        <v/>
      </c>
      <c r="G205" s="27" t="str">
        <f aca="false">IF(COUNTA('Lista de Preços'!$A194:$W194)&gt;0,IF(AND('Lista de Preços'!$A194&lt;&gt;"",COUNTIF('Lista de Preços'!$A$4:$A$503,'Lista de Preços'!$A194)&gt;1),"ERRO","OK"),"")</f>
        <v/>
      </c>
      <c r="H205" s="27" t="str">
        <f aca="false">IF(COUNTA('Lista de Preços'!$A194:$W194)&gt;0,IF(AND('Lista de Preços'!$N194&lt;&gt;"",ISNUMBER('Lista de Preços'!$N194),OR('Lista de Preços'!$N194&lt;0,'Lista de Preços'!$N194&gt;0.5)),"ERRO","OK"),"")</f>
        <v/>
      </c>
      <c r="I205" s="27" t="str">
        <f aca="false">IF(COUNTA('Lista de Preços'!$A194:$W194)&gt;0,IF(OR($C205="ERRO",$D205="ERRO",$E205="ERRO",$F205="ERRO",$G205="ERRO",$H205="ERRO"),"FALHA","OK"),"")</f>
        <v/>
      </c>
    </row>
    <row r="206" customFormat="false" ht="15" hidden="false" customHeight="false" outlineLevel="0" collapsed="false">
      <c r="A206" s="26" t="n">
        <f aca="false">'Lista de Preços'!$A195</f>
        <v>0</v>
      </c>
      <c r="B206" s="26" t="n">
        <f aca="false">'Lista de Preços'!$B195</f>
        <v>0</v>
      </c>
      <c r="C206" s="27" t="str">
        <f aca="false">IF(COUNTA('Lista de Preços'!$A195:$W195)&gt;0,IF((COUNTBLANK('Lista de Preços'!$A195)+COUNTBLANK('Lista de Preços'!$B195)+COUNTBLANK('Lista de Preços'!$C195)+COUNTBLANK('Lista de Preços'!$D195)+COUNTBLANK('Lista de Preços'!$E195)+COUNTBLANK('Lista de Preços'!$F195)+COUNTBLANK('Lista de Preços'!$L195)+COUNTBLANK('Lista de Preços'!$M195)+COUNTBLANK('Lista de Preços'!$P195)+COUNTBLANK('Lista de Preços'!$U195)+COUNTBLANK('Lista de Preços'!$V195))&gt;0,"ERRO","OK"),"")</f>
        <v/>
      </c>
      <c r="D206" s="27" t="str">
        <f aca="false">IF(COUNTA('Lista de Preços'!$A195:$W195)&gt;0,IF(OR(AND('Lista de Preços'!$L195&lt;&gt;"",NOT(ISNUMBER('Lista de Preços'!$L195))),AND('Lista de Preços'!$M195&lt;&gt;"",NOT(ISNUMBER('Lista de Preços'!$M195)))),"ERRO","OK"),"")</f>
        <v/>
      </c>
      <c r="E206" s="27" t="str">
        <f aca="false">IF(COUNTA('Lista de Preços'!$A195:$W195)&gt;0,IF(AND(ISNUMBER('Lista de Preços'!$L195),ISNUMBER('Lista de Preços'!$M195),'Lista de Preços'!$L195&gt;'Lista de Preços'!$M195),"ERRO","OK"),"")</f>
        <v/>
      </c>
      <c r="F206" s="27" t="str">
        <f aca="true">IF(COUNTA('Lista de Preços'!$A195:$W195)&gt;0,IF(AND('Lista de Preços'!$S195&lt;&gt;"",ISNUMBER('Lista de Preços'!$S195),'Lista de Preços'!$S195&lt;TODAY()),"ERRO","OK"),"")</f>
        <v/>
      </c>
      <c r="G206" s="27" t="str">
        <f aca="false">IF(COUNTA('Lista de Preços'!$A195:$W195)&gt;0,IF(AND('Lista de Preços'!$A195&lt;&gt;"",COUNTIF('Lista de Preços'!$A$4:$A$503,'Lista de Preços'!$A195)&gt;1),"ERRO","OK"),"")</f>
        <v/>
      </c>
      <c r="H206" s="27" t="str">
        <f aca="false">IF(COUNTA('Lista de Preços'!$A195:$W195)&gt;0,IF(AND('Lista de Preços'!$N195&lt;&gt;"",ISNUMBER('Lista de Preços'!$N195),OR('Lista de Preços'!$N195&lt;0,'Lista de Preços'!$N195&gt;0.5)),"ERRO","OK"),"")</f>
        <v/>
      </c>
      <c r="I206" s="27" t="str">
        <f aca="false">IF(COUNTA('Lista de Preços'!$A195:$W195)&gt;0,IF(OR($C206="ERRO",$D206="ERRO",$E206="ERRO",$F206="ERRO",$G206="ERRO",$H206="ERRO"),"FALHA","OK"),"")</f>
        <v/>
      </c>
    </row>
    <row r="207" customFormat="false" ht="15" hidden="false" customHeight="false" outlineLevel="0" collapsed="false">
      <c r="A207" s="26" t="n">
        <f aca="false">'Lista de Preços'!$A196</f>
        <v>0</v>
      </c>
      <c r="B207" s="26" t="n">
        <f aca="false">'Lista de Preços'!$B196</f>
        <v>0</v>
      </c>
      <c r="C207" s="27" t="str">
        <f aca="false">IF(COUNTA('Lista de Preços'!$A196:$W196)&gt;0,IF((COUNTBLANK('Lista de Preços'!$A196)+COUNTBLANK('Lista de Preços'!$B196)+COUNTBLANK('Lista de Preços'!$C196)+COUNTBLANK('Lista de Preços'!$D196)+COUNTBLANK('Lista de Preços'!$E196)+COUNTBLANK('Lista de Preços'!$F196)+COUNTBLANK('Lista de Preços'!$L196)+COUNTBLANK('Lista de Preços'!$M196)+COUNTBLANK('Lista de Preços'!$P196)+COUNTBLANK('Lista de Preços'!$U196)+COUNTBLANK('Lista de Preços'!$V196))&gt;0,"ERRO","OK"),"")</f>
        <v/>
      </c>
      <c r="D207" s="27" t="str">
        <f aca="false">IF(COUNTA('Lista de Preços'!$A196:$W196)&gt;0,IF(OR(AND('Lista de Preços'!$L196&lt;&gt;"",NOT(ISNUMBER('Lista de Preços'!$L196))),AND('Lista de Preços'!$M196&lt;&gt;"",NOT(ISNUMBER('Lista de Preços'!$M196)))),"ERRO","OK"),"")</f>
        <v/>
      </c>
      <c r="E207" s="27" t="str">
        <f aca="false">IF(COUNTA('Lista de Preços'!$A196:$W196)&gt;0,IF(AND(ISNUMBER('Lista de Preços'!$L196),ISNUMBER('Lista de Preços'!$M196),'Lista de Preços'!$L196&gt;'Lista de Preços'!$M196),"ERRO","OK"),"")</f>
        <v/>
      </c>
      <c r="F207" s="27" t="str">
        <f aca="true">IF(COUNTA('Lista de Preços'!$A196:$W196)&gt;0,IF(AND('Lista de Preços'!$S196&lt;&gt;"",ISNUMBER('Lista de Preços'!$S196),'Lista de Preços'!$S196&lt;TODAY()),"ERRO","OK"),"")</f>
        <v/>
      </c>
      <c r="G207" s="27" t="str">
        <f aca="false">IF(COUNTA('Lista de Preços'!$A196:$W196)&gt;0,IF(AND('Lista de Preços'!$A196&lt;&gt;"",COUNTIF('Lista de Preços'!$A$4:$A$503,'Lista de Preços'!$A196)&gt;1),"ERRO","OK"),"")</f>
        <v/>
      </c>
      <c r="H207" s="27" t="str">
        <f aca="false">IF(COUNTA('Lista de Preços'!$A196:$W196)&gt;0,IF(AND('Lista de Preços'!$N196&lt;&gt;"",ISNUMBER('Lista de Preços'!$N196),OR('Lista de Preços'!$N196&lt;0,'Lista de Preços'!$N196&gt;0.5)),"ERRO","OK"),"")</f>
        <v/>
      </c>
      <c r="I207" s="27" t="str">
        <f aca="false">IF(COUNTA('Lista de Preços'!$A196:$W196)&gt;0,IF(OR($C207="ERRO",$D207="ERRO",$E207="ERRO",$F207="ERRO",$G207="ERRO",$H207="ERRO"),"FALHA","OK"),"")</f>
        <v/>
      </c>
    </row>
    <row r="208" customFormat="false" ht="15" hidden="false" customHeight="false" outlineLevel="0" collapsed="false">
      <c r="A208" s="26" t="n">
        <f aca="false">'Lista de Preços'!$A197</f>
        <v>0</v>
      </c>
      <c r="B208" s="26" t="n">
        <f aca="false">'Lista de Preços'!$B197</f>
        <v>0</v>
      </c>
      <c r="C208" s="27" t="str">
        <f aca="false">IF(COUNTA('Lista de Preços'!$A197:$W197)&gt;0,IF((COUNTBLANK('Lista de Preços'!$A197)+COUNTBLANK('Lista de Preços'!$B197)+COUNTBLANK('Lista de Preços'!$C197)+COUNTBLANK('Lista de Preços'!$D197)+COUNTBLANK('Lista de Preços'!$E197)+COUNTBLANK('Lista de Preços'!$F197)+COUNTBLANK('Lista de Preços'!$L197)+COUNTBLANK('Lista de Preços'!$M197)+COUNTBLANK('Lista de Preços'!$P197)+COUNTBLANK('Lista de Preços'!$U197)+COUNTBLANK('Lista de Preços'!$V197))&gt;0,"ERRO","OK"),"")</f>
        <v/>
      </c>
      <c r="D208" s="27" t="str">
        <f aca="false">IF(COUNTA('Lista de Preços'!$A197:$W197)&gt;0,IF(OR(AND('Lista de Preços'!$L197&lt;&gt;"",NOT(ISNUMBER('Lista de Preços'!$L197))),AND('Lista de Preços'!$M197&lt;&gt;"",NOT(ISNUMBER('Lista de Preços'!$M197)))),"ERRO","OK"),"")</f>
        <v/>
      </c>
      <c r="E208" s="27" t="str">
        <f aca="false">IF(COUNTA('Lista de Preços'!$A197:$W197)&gt;0,IF(AND(ISNUMBER('Lista de Preços'!$L197),ISNUMBER('Lista de Preços'!$M197),'Lista de Preços'!$L197&gt;'Lista de Preços'!$M197),"ERRO","OK"),"")</f>
        <v/>
      </c>
      <c r="F208" s="27" t="str">
        <f aca="true">IF(COUNTA('Lista de Preços'!$A197:$W197)&gt;0,IF(AND('Lista de Preços'!$S197&lt;&gt;"",ISNUMBER('Lista de Preços'!$S197),'Lista de Preços'!$S197&lt;TODAY()),"ERRO","OK"),"")</f>
        <v/>
      </c>
      <c r="G208" s="27" t="str">
        <f aca="false">IF(COUNTA('Lista de Preços'!$A197:$W197)&gt;0,IF(AND('Lista de Preços'!$A197&lt;&gt;"",COUNTIF('Lista de Preços'!$A$4:$A$503,'Lista de Preços'!$A197)&gt;1),"ERRO","OK"),"")</f>
        <v/>
      </c>
      <c r="H208" s="27" t="str">
        <f aca="false">IF(COUNTA('Lista de Preços'!$A197:$W197)&gt;0,IF(AND('Lista de Preços'!$N197&lt;&gt;"",ISNUMBER('Lista de Preços'!$N197),OR('Lista de Preços'!$N197&lt;0,'Lista de Preços'!$N197&gt;0.5)),"ERRO","OK"),"")</f>
        <v/>
      </c>
      <c r="I208" s="27" t="str">
        <f aca="false">IF(COUNTA('Lista de Preços'!$A197:$W197)&gt;0,IF(OR($C208="ERRO",$D208="ERRO",$E208="ERRO",$F208="ERRO",$G208="ERRO",$H208="ERRO"),"FALHA","OK"),"")</f>
        <v/>
      </c>
    </row>
    <row r="209" customFormat="false" ht="15" hidden="false" customHeight="false" outlineLevel="0" collapsed="false">
      <c r="A209" s="26" t="n">
        <f aca="false">'Lista de Preços'!$A198</f>
        <v>0</v>
      </c>
      <c r="B209" s="26" t="n">
        <f aca="false">'Lista de Preços'!$B198</f>
        <v>0</v>
      </c>
      <c r="C209" s="27" t="str">
        <f aca="false">IF(COUNTA('Lista de Preços'!$A198:$W198)&gt;0,IF((COUNTBLANK('Lista de Preços'!$A198)+COUNTBLANK('Lista de Preços'!$B198)+COUNTBLANK('Lista de Preços'!$C198)+COUNTBLANK('Lista de Preços'!$D198)+COUNTBLANK('Lista de Preços'!$E198)+COUNTBLANK('Lista de Preços'!$F198)+COUNTBLANK('Lista de Preços'!$L198)+COUNTBLANK('Lista de Preços'!$M198)+COUNTBLANK('Lista de Preços'!$P198)+COUNTBLANK('Lista de Preços'!$U198)+COUNTBLANK('Lista de Preços'!$V198))&gt;0,"ERRO","OK"),"")</f>
        <v/>
      </c>
      <c r="D209" s="27" t="str">
        <f aca="false">IF(COUNTA('Lista de Preços'!$A198:$W198)&gt;0,IF(OR(AND('Lista de Preços'!$L198&lt;&gt;"",NOT(ISNUMBER('Lista de Preços'!$L198))),AND('Lista de Preços'!$M198&lt;&gt;"",NOT(ISNUMBER('Lista de Preços'!$M198)))),"ERRO","OK"),"")</f>
        <v/>
      </c>
      <c r="E209" s="27" t="str">
        <f aca="false">IF(COUNTA('Lista de Preços'!$A198:$W198)&gt;0,IF(AND(ISNUMBER('Lista de Preços'!$L198),ISNUMBER('Lista de Preços'!$M198),'Lista de Preços'!$L198&gt;'Lista de Preços'!$M198),"ERRO","OK"),"")</f>
        <v/>
      </c>
      <c r="F209" s="27" t="str">
        <f aca="true">IF(COUNTA('Lista de Preços'!$A198:$W198)&gt;0,IF(AND('Lista de Preços'!$S198&lt;&gt;"",ISNUMBER('Lista de Preços'!$S198),'Lista de Preços'!$S198&lt;TODAY()),"ERRO","OK"),"")</f>
        <v/>
      </c>
      <c r="G209" s="27" t="str">
        <f aca="false">IF(COUNTA('Lista de Preços'!$A198:$W198)&gt;0,IF(AND('Lista de Preços'!$A198&lt;&gt;"",COUNTIF('Lista de Preços'!$A$4:$A$503,'Lista de Preços'!$A198)&gt;1),"ERRO","OK"),"")</f>
        <v/>
      </c>
      <c r="H209" s="27" t="str">
        <f aca="false">IF(COUNTA('Lista de Preços'!$A198:$W198)&gt;0,IF(AND('Lista de Preços'!$N198&lt;&gt;"",ISNUMBER('Lista de Preços'!$N198),OR('Lista de Preços'!$N198&lt;0,'Lista de Preços'!$N198&gt;0.5)),"ERRO","OK"),"")</f>
        <v/>
      </c>
      <c r="I209" s="27" t="str">
        <f aca="false">IF(COUNTA('Lista de Preços'!$A198:$W198)&gt;0,IF(OR($C209="ERRO",$D209="ERRO",$E209="ERRO",$F209="ERRO",$G209="ERRO",$H209="ERRO"),"FALHA","OK"),"")</f>
        <v/>
      </c>
    </row>
    <row r="210" customFormat="false" ht="15" hidden="false" customHeight="false" outlineLevel="0" collapsed="false">
      <c r="A210" s="26" t="n">
        <f aca="false">'Lista de Preços'!$A199</f>
        <v>0</v>
      </c>
      <c r="B210" s="26" t="n">
        <f aca="false">'Lista de Preços'!$B199</f>
        <v>0</v>
      </c>
      <c r="C210" s="27" t="str">
        <f aca="false">IF(COUNTA('Lista de Preços'!$A199:$W199)&gt;0,IF((COUNTBLANK('Lista de Preços'!$A199)+COUNTBLANK('Lista de Preços'!$B199)+COUNTBLANK('Lista de Preços'!$C199)+COUNTBLANK('Lista de Preços'!$D199)+COUNTBLANK('Lista de Preços'!$E199)+COUNTBLANK('Lista de Preços'!$F199)+COUNTBLANK('Lista de Preços'!$L199)+COUNTBLANK('Lista de Preços'!$M199)+COUNTBLANK('Lista de Preços'!$P199)+COUNTBLANK('Lista de Preços'!$U199)+COUNTBLANK('Lista de Preços'!$V199))&gt;0,"ERRO","OK"),"")</f>
        <v/>
      </c>
      <c r="D210" s="27" t="str">
        <f aca="false">IF(COUNTA('Lista de Preços'!$A199:$W199)&gt;0,IF(OR(AND('Lista de Preços'!$L199&lt;&gt;"",NOT(ISNUMBER('Lista de Preços'!$L199))),AND('Lista de Preços'!$M199&lt;&gt;"",NOT(ISNUMBER('Lista de Preços'!$M199)))),"ERRO","OK"),"")</f>
        <v/>
      </c>
      <c r="E210" s="27" t="str">
        <f aca="false">IF(COUNTA('Lista de Preços'!$A199:$W199)&gt;0,IF(AND(ISNUMBER('Lista de Preços'!$L199),ISNUMBER('Lista de Preços'!$M199),'Lista de Preços'!$L199&gt;'Lista de Preços'!$M199),"ERRO","OK"),"")</f>
        <v/>
      </c>
      <c r="F210" s="27" t="str">
        <f aca="true">IF(COUNTA('Lista de Preços'!$A199:$W199)&gt;0,IF(AND('Lista de Preços'!$S199&lt;&gt;"",ISNUMBER('Lista de Preços'!$S199),'Lista de Preços'!$S199&lt;TODAY()),"ERRO","OK"),"")</f>
        <v/>
      </c>
      <c r="G210" s="27" t="str">
        <f aca="false">IF(COUNTA('Lista de Preços'!$A199:$W199)&gt;0,IF(AND('Lista de Preços'!$A199&lt;&gt;"",COUNTIF('Lista de Preços'!$A$4:$A$503,'Lista de Preços'!$A199)&gt;1),"ERRO","OK"),"")</f>
        <v/>
      </c>
      <c r="H210" s="27" t="str">
        <f aca="false">IF(COUNTA('Lista de Preços'!$A199:$W199)&gt;0,IF(AND('Lista de Preços'!$N199&lt;&gt;"",ISNUMBER('Lista de Preços'!$N199),OR('Lista de Preços'!$N199&lt;0,'Lista de Preços'!$N199&gt;0.5)),"ERRO","OK"),"")</f>
        <v/>
      </c>
      <c r="I210" s="27" t="str">
        <f aca="false">IF(COUNTA('Lista de Preços'!$A199:$W199)&gt;0,IF(OR($C210="ERRO",$D210="ERRO",$E210="ERRO",$F210="ERRO",$G210="ERRO",$H210="ERRO"),"FALHA","OK"),"")</f>
        <v/>
      </c>
    </row>
    <row r="211" customFormat="false" ht="15" hidden="false" customHeight="false" outlineLevel="0" collapsed="false">
      <c r="A211" s="26" t="n">
        <f aca="false">'Lista de Preços'!$A200</f>
        <v>0</v>
      </c>
      <c r="B211" s="26" t="n">
        <f aca="false">'Lista de Preços'!$B200</f>
        <v>0</v>
      </c>
      <c r="C211" s="27" t="str">
        <f aca="false">IF(COUNTA('Lista de Preços'!$A200:$W200)&gt;0,IF((COUNTBLANK('Lista de Preços'!$A200)+COUNTBLANK('Lista de Preços'!$B200)+COUNTBLANK('Lista de Preços'!$C200)+COUNTBLANK('Lista de Preços'!$D200)+COUNTBLANK('Lista de Preços'!$E200)+COUNTBLANK('Lista de Preços'!$F200)+COUNTBLANK('Lista de Preços'!$L200)+COUNTBLANK('Lista de Preços'!$M200)+COUNTBLANK('Lista de Preços'!$P200)+COUNTBLANK('Lista de Preços'!$U200)+COUNTBLANK('Lista de Preços'!$V200))&gt;0,"ERRO","OK"),"")</f>
        <v/>
      </c>
      <c r="D211" s="27" t="str">
        <f aca="false">IF(COUNTA('Lista de Preços'!$A200:$W200)&gt;0,IF(OR(AND('Lista de Preços'!$L200&lt;&gt;"",NOT(ISNUMBER('Lista de Preços'!$L200))),AND('Lista de Preços'!$M200&lt;&gt;"",NOT(ISNUMBER('Lista de Preços'!$M200)))),"ERRO","OK"),"")</f>
        <v/>
      </c>
      <c r="E211" s="27" t="str">
        <f aca="false">IF(COUNTA('Lista de Preços'!$A200:$W200)&gt;0,IF(AND(ISNUMBER('Lista de Preços'!$L200),ISNUMBER('Lista de Preços'!$M200),'Lista de Preços'!$L200&gt;'Lista de Preços'!$M200),"ERRO","OK"),"")</f>
        <v/>
      </c>
      <c r="F211" s="27" t="str">
        <f aca="true">IF(COUNTA('Lista de Preços'!$A200:$W200)&gt;0,IF(AND('Lista de Preços'!$S200&lt;&gt;"",ISNUMBER('Lista de Preços'!$S200),'Lista de Preços'!$S200&lt;TODAY()),"ERRO","OK"),"")</f>
        <v/>
      </c>
      <c r="G211" s="27" t="str">
        <f aca="false">IF(COUNTA('Lista de Preços'!$A200:$W200)&gt;0,IF(AND('Lista de Preços'!$A200&lt;&gt;"",COUNTIF('Lista de Preços'!$A$4:$A$503,'Lista de Preços'!$A200)&gt;1),"ERRO","OK"),"")</f>
        <v/>
      </c>
      <c r="H211" s="27" t="str">
        <f aca="false">IF(COUNTA('Lista de Preços'!$A200:$W200)&gt;0,IF(AND('Lista de Preços'!$N200&lt;&gt;"",ISNUMBER('Lista de Preços'!$N200),OR('Lista de Preços'!$N200&lt;0,'Lista de Preços'!$N200&gt;0.5)),"ERRO","OK"),"")</f>
        <v/>
      </c>
      <c r="I211" s="27" t="str">
        <f aca="false">IF(COUNTA('Lista de Preços'!$A200:$W200)&gt;0,IF(OR($C211="ERRO",$D211="ERRO",$E211="ERRO",$F211="ERRO",$G211="ERRO",$H211="ERRO"),"FALHA","OK"),"")</f>
        <v/>
      </c>
    </row>
    <row r="212" customFormat="false" ht="15" hidden="false" customHeight="false" outlineLevel="0" collapsed="false">
      <c r="A212" s="26" t="n">
        <f aca="false">'Lista de Preços'!$A201</f>
        <v>0</v>
      </c>
      <c r="B212" s="26" t="n">
        <f aca="false">'Lista de Preços'!$B201</f>
        <v>0</v>
      </c>
      <c r="C212" s="27" t="str">
        <f aca="false">IF(COUNTA('Lista de Preços'!$A201:$W201)&gt;0,IF((COUNTBLANK('Lista de Preços'!$A201)+COUNTBLANK('Lista de Preços'!$B201)+COUNTBLANK('Lista de Preços'!$C201)+COUNTBLANK('Lista de Preços'!$D201)+COUNTBLANK('Lista de Preços'!$E201)+COUNTBLANK('Lista de Preços'!$F201)+COUNTBLANK('Lista de Preços'!$L201)+COUNTBLANK('Lista de Preços'!$M201)+COUNTBLANK('Lista de Preços'!$P201)+COUNTBLANK('Lista de Preços'!$U201)+COUNTBLANK('Lista de Preços'!$V201))&gt;0,"ERRO","OK"),"")</f>
        <v/>
      </c>
      <c r="D212" s="27" t="str">
        <f aca="false">IF(COUNTA('Lista de Preços'!$A201:$W201)&gt;0,IF(OR(AND('Lista de Preços'!$L201&lt;&gt;"",NOT(ISNUMBER('Lista de Preços'!$L201))),AND('Lista de Preços'!$M201&lt;&gt;"",NOT(ISNUMBER('Lista de Preços'!$M201)))),"ERRO","OK"),"")</f>
        <v/>
      </c>
      <c r="E212" s="27" t="str">
        <f aca="false">IF(COUNTA('Lista de Preços'!$A201:$W201)&gt;0,IF(AND(ISNUMBER('Lista de Preços'!$L201),ISNUMBER('Lista de Preços'!$M201),'Lista de Preços'!$L201&gt;'Lista de Preços'!$M201),"ERRO","OK"),"")</f>
        <v/>
      </c>
      <c r="F212" s="27" t="str">
        <f aca="true">IF(COUNTA('Lista de Preços'!$A201:$W201)&gt;0,IF(AND('Lista de Preços'!$S201&lt;&gt;"",ISNUMBER('Lista de Preços'!$S201),'Lista de Preços'!$S201&lt;TODAY()),"ERRO","OK"),"")</f>
        <v/>
      </c>
      <c r="G212" s="27" t="str">
        <f aca="false">IF(COUNTA('Lista de Preços'!$A201:$W201)&gt;0,IF(AND('Lista de Preços'!$A201&lt;&gt;"",COUNTIF('Lista de Preços'!$A$4:$A$503,'Lista de Preços'!$A201)&gt;1),"ERRO","OK"),"")</f>
        <v/>
      </c>
      <c r="H212" s="27" t="str">
        <f aca="false">IF(COUNTA('Lista de Preços'!$A201:$W201)&gt;0,IF(AND('Lista de Preços'!$N201&lt;&gt;"",ISNUMBER('Lista de Preços'!$N201),OR('Lista de Preços'!$N201&lt;0,'Lista de Preços'!$N201&gt;0.5)),"ERRO","OK"),"")</f>
        <v/>
      </c>
      <c r="I212" s="27" t="str">
        <f aca="false">IF(COUNTA('Lista de Preços'!$A201:$W201)&gt;0,IF(OR($C212="ERRO",$D212="ERRO",$E212="ERRO",$F212="ERRO",$G212="ERRO",$H212="ERRO"),"FALHA","OK"),"")</f>
        <v/>
      </c>
    </row>
    <row r="213" customFormat="false" ht="15" hidden="false" customHeight="false" outlineLevel="0" collapsed="false">
      <c r="A213" s="26" t="n">
        <f aca="false">'Lista de Preços'!$A202</f>
        <v>0</v>
      </c>
      <c r="B213" s="26" t="n">
        <f aca="false">'Lista de Preços'!$B202</f>
        <v>0</v>
      </c>
      <c r="C213" s="27" t="str">
        <f aca="false">IF(COUNTA('Lista de Preços'!$A202:$W202)&gt;0,IF((COUNTBLANK('Lista de Preços'!$A202)+COUNTBLANK('Lista de Preços'!$B202)+COUNTBLANK('Lista de Preços'!$C202)+COUNTBLANK('Lista de Preços'!$D202)+COUNTBLANK('Lista de Preços'!$E202)+COUNTBLANK('Lista de Preços'!$F202)+COUNTBLANK('Lista de Preços'!$L202)+COUNTBLANK('Lista de Preços'!$M202)+COUNTBLANK('Lista de Preços'!$P202)+COUNTBLANK('Lista de Preços'!$U202)+COUNTBLANK('Lista de Preços'!$V202))&gt;0,"ERRO","OK"),"")</f>
        <v/>
      </c>
      <c r="D213" s="27" t="str">
        <f aca="false">IF(COUNTA('Lista de Preços'!$A202:$W202)&gt;0,IF(OR(AND('Lista de Preços'!$L202&lt;&gt;"",NOT(ISNUMBER('Lista de Preços'!$L202))),AND('Lista de Preços'!$M202&lt;&gt;"",NOT(ISNUMBER('Lista de Preços'!$M202)))),"ERRO","OK"),"")</f>
        <v/>
      </c>
      <c r="E213" s="27" t="str">
        <f aca="false">IF(COUNTA('Lista de Preços'!$A202:$W202)&gt;0,IF(AND(ISNUMBER('Lista de Preços'!$L202),ISNUMBER('Lista de Preços'!$M202),'Lista de Preços'!$L202&gt;'Lista de Preços'!$M202),"ERRO","OK"),"")</f>
        <v/>
      </c>
      <c r="F213" s="27" t="str">
        <f aca="true">IF(COUNTA('Lista de Preços'!$A202:$W202)&gt;0,IF(AND('Lista de Preços'!$S202&lt;&gt;"",ISNUMBER('Lista de Preços'!$S202),'Lista de Preços'!$S202&lt;TODAY()),"ERRO","OK"),"")</f>
        <v/>
      </c>
      <c r="G213" s="27" t="str">
        <f aca="false">IF(COUNTA('Lista de Preços'!$A202:$W202)&gt;0,IF(AND('Lista de Preços'!$A202&lt;&gt;"",COUNTIF('Lista de Preços'!$A$4:$A$503,'Lista de Preços'!$A202)&gt;1),"ERRO","OK"),"")</f>
        <v/>
      </c>
      <c r="H213" s="27" t="str">
        <f aca="false">IF(COUNTA('Lista de Preços'!$A202:$W202)&gt;0,IF(AND('Lista de Preços'!$N202&lt;&gt;"",ISNUMBER('Lista de Preços'!$N202),OR('Lista de Preços'!$N202&lt;0,'Lista de Preços'!$N202&gt;0.5)),"ERRO","OK"),"")</f>
        <v/>
      </c>
      <c r="I213" s="27" t="str">
        <f aca="false">IF(COUNTA('Lista de Preços'!$A202:$W202)&gt;0,IF(OR($C213="ERRO",$D213="ERRO",$E213="ERRO",$F213="ERRO",$G213="ERRO",$H213="ERRO"),"FALHA","OK"),"")</f>
        <v/>
      </c>
    </row>
    <row r="214" customFormat="false" ht="15" hidden="false" customHeight="false" outlineLevel="0" collapsed="false">
      <c r="A214" s="26" t="n">
        <f aca="false">'Lista de Preços'!$A203</f>
        <v>0</v>
      </c>
      <c r="B214" s="26" t="n">
        <f aca="false">'Lista de Preços'!$B203</f>
        <v>0</v>
      </c>
      <c r="C214" s="27" t="str">
        <f aca="false">IF(COUNTA('Lista de Preços'!$A203:$W203)&gt;0,IF((COUNTBLANK('Lista de Preços'!$A203)+COUNTBLANK('Lista de Preços'!$B203)+COUNTBLANK('Lista de Preços'!$C203)+COUNTBLANK('Lista de Preços'!$D203)+COUNTBLANK('Lista de Preços'!$E203)+COUNTBLANK('Lista de Preços'!$F203)+COUNTBLANK('Lista de Preços'!$L203)+COUNTBLANK('Lista de Preços'!$M203)+COUNTBLANK('Lista de Preços'!$P203)+COUNTBLANK('Lista de Preços'!$U203)+COUNTBLANK('Lista de Preços'!$V203))&gt;0,"ERRO","OK"),"")</f>
        <v/>
      </c>
      <c r="D214" s="27" t="str">
        <f aca="false">IF(COUNTA('Lista de Preços'!$A203:$W203)&gt;0,IF(OR(AND('Lista de Preços'!$L203&lt;&gt;"",NOT(ISNUMBER('Lista de Preços'!$L203))),AND('Lista de Preços'!$M203&lt;&gt;"",NOT(ISNUMBER('Lista de Preços'!$M203)))),"ERRO","OK"),"")</f>
        <v/>
      </c>
      <c r="E214" s="27" t="str">
        <f aca="false">IF(COUNTA('Lista de Preços'!$A203:$W203)&gt;0,IF(AND(ISNUMBER('Lista de Preços'!$L203),ISNUMBER('Lista de Preços'!$M203),'Lista de Preços'!$L203&gt;'Lista de Preços'!$M203),"ERRO","OK"),"")</f>
        <v/>
      </c>
      <c r="F214" s="27" t="str">
        <f aca="true">IF(COUNTA('Lista de Preços'!$A203:$W203)&gt;0,IF(AND('Lista de Preços'!$S203&lt;&gt;"",ISNUMBER('Lista de Preços'!$S203),'Lista de Preços'!$S203&lt;TODAY()),"ERRO","OK"),"")</f>
        <v/>
      </c>
      <c r="G214" s="27" t="str">
        <f aca="false">IF(COUNTA('Lista de Preços'!$A203:$W203)&gt;0,IF(AND('Lista de Preços'!$A203&lt;&gt;"",COUNTIF('Lista de Preços'!$A$4:$A$503,'Lista de Preços'!$A203)&gt;1),"ERRO","OK"),"")</f>
        <v/>
      </c>
      <c r="H214" s="27" t="str">
        <f aca="false">IF(COUNTA('Lista de Preços'!$A203:$W203)&gt;0,IF(AND('Lista de Preços'!$N203&lt;&gt;"",ISNUMBER('Lista de Preços'!$N203),OR('Lista de Preços'!$N203&lt;0,'Lista de Preços'!$N203&gt;0.5)),"ERRO","OK"),"")</f>
        <v/>
      </c>
      <c r="I214" s="27" t="str">
        <f aca="false">IF(COUNTA('Lista de Preços'!$A203:$W203)&gt;0,IF(OR($C214="ERRO",$D214="ERRO",$E214="ERRO",$F214="ERRO",$G214="ERRO",$H214="ERRO"),"FALHA","OK"),"")</f>
        <v/>
      </c>
    </row>
    <row r="215" customFormat="false" ht="15" hidden="false" customHeight="false" outlineLevel="0" collapsed="false">
      <c r="A215" s="26" t="n">
        <f aca="false">'Lista de Preços'!$A204</f>
        <v>0</v>
      </c>
      <c r="B215" s="26" t="n">
        <f aca="false">'Lista de Preços'!$B204</f>
        <v>0</v>
      </c>
      <c r="C215" s="27" t="str">
        <f aca="false">IF(COUNTA('Lista de Preços'!$A204:$W204)&gt;0,IF((COUNTBLANK('Lista de Preços'!$A204)+COUNTBLANK('Lista de Preços'!$B204)+COUNTBLANK('Lista de Preços'!$C204)+COUNTBLANK('Lista de Preços'!$D204)+COUNTBLANK('Lista de Preços'!$E204)+COUNTBLANK('Lista de Preços'!$F204)+COUNTBLANK('Lista de Preços'!$L204)+COUNTBLANK('Lista de Preços'!$M204)+COUNTBLANK('Lista de Preços'!$P204)+COUNTBLANK('Lista de Preços'!$U204)+COUNTBLANK('Lista de Preços'!$V204))&gt;0,"ERRO","OK"),"")</f>
        <v/>
      </c>
      <c r="D215" s="27" t="str">
        <f aca="false">IF(COUNTA('Lista de Preços'!$A204:$W204)&gt;0,IF(OR(AND('Lista de Preços'!$L204&lt;&gt;"",NOT(ISNUMBER('Lista de Preços'!$L204))),AND('Lista de Preços'!$M204&lt;&gt;"",NOT(ISNUMBER('Lista de Preços'!$M204)))),"ERRO","OK"),"")</f>
        <v/>
      </c>
      <c r="E215" s="27" t="str">
        <f aca="false">IF(COUNTA('Lista de Preços'!$A204:$W204)&gt;0,IF(AND(ISNUMBER('Lista de Preços'!$L204),ISNUMBER('Lista de Preços'!$M204),'Lista de Preços'!$L204&gt;'Lista de Preços'!$M204),"ERRO","OK"),"")</f>
        <v/>
      </c>
      <c r="F215" s="27" t="str">
        <f aca="true">IF(COUNTA('Lista de Preços'!$A204:$W204)&gt;0,IF(AND('Lista de Preços'!$S204&lt;&gt;"",ISNUMBER('Lista de Preços'!$S204),'Lista de Preços'!$S204&lt;TODAY()),"ERRO","OK"),"")</f>
        <v/>
      </c>
      <c r="G215" s="27" t="str">
        <f aca="false">IF(COUNTA('Lista de Preços'!$A204:$W204)&gt;0,IF(AND('Lista de Preços'!$A204&lt;&gt;"",COUNTIF('Lista de Preços'!$A$4:$A$503,'Lista de Preços'!$A204)&gt;1),"ERRO","OK"),"")</f>
        <v/>
      </c>
      <c r="H215" s="27" t="str">
        <f aca="false">IF(COUNTA('Lista de Preços'!$A204:$W204)&gt;0,IF(AND('Lista de Preços'!$N204&lt;&gt;"",ISNUMBER('Lista de Preços'!$N204),OR('Lista de Preços'!$N204&lt;0,'Lista de Preços'!$N204&gt;0.5)),"ERRO","OK"),"")</f>
        <v/>
      </c>
      <c r="I215" s="27" t="str">
        <f aca="false">IF(COUNTA('Lista de Preços'!$A204:$W204)&gt;0,IF(OR($C215="ERRO",$D215="ERRO",$E215="ERRO",$F215="ERRO",$G215="ERRO",$H215="ERRO"),"FALHA","OK"),"")</f>
        <v/>
      </c>
    </row>
    <row r="216" customFormat="false" ht="15" hidden="false" customHeight="false" outlineLevel="0" collapsed="false">
      <c r="A216" s="26" t="n">
        <f aca="false">'Lista de Preços'!$A205</f>
        <v>0</v>
      </c>
      <c r="B216" s="26" t="n">
        <f aca="false">'Lista de Preços'!$B205</f>
        <v>0</v>
      </c>
      <c r="C216" s="27" t="str">
        <f aca="false">IF(COUNTA('Lista de Preços'!$A205:$W205)&gt;0,IF((COUNTBLANK('Lista de Preços'!$A205)+COUNTBLANK('Lista de Preços'!$B205)+COUNTBLANK('Lista de Preços'!$C205)+COUNTBLANK('Lista de Preços'!$D205)+COUNTBLANK('Lista de Preços'!$E205)+COUNTBLANK('Lista de Preços'!$F205)+COUNTBLANK('Lista de Preços'!$L205)+COUNTBLANK('Lista de Preços'!$M205)+COUNTBLANK('Lista de Preços'!$P205)+COUNTBLANK('Lista de Preços'!$U205)+COUNTBLANK('Lista de Preços'!$V205))&gt;0,"ERRO","OK"),"")</f>
        <v/>
      </c>
      <c r="D216" s="27" t="str">
        <f aca="false">IF(COUNTA('Lista de Preços'!$A205:$W205)&gt;0,IF(OR(AND('Lista de Preços'!$L205&lt;&gt;"",NOT(ISNUMBER('Lista de Preços'!$L205))),AND('Lista de Preços'!$M205&lt;&gt;"",NOT(ISNUMBER('Lista de Preços'!$M205)))),"ERRO","OK"),"")</f>
        <v/>
      </c>
      <c r="E216" s="27" t="str">
        <f aca="false">IF(COUNTA('Lista de Preços'!$A205:$W205)&gt;0,IF(AND(ISNUMBER('Lista de Preços'!$L205),ISNUMBER('Lista de Preços'!$M205),'Lista de Preços'!$L205&gt;'Lista de Preços'!$M205),"ERRO","OK"),"")</f>
        <v/>
      </c>
      <c r="F216" s="27" t="str">
        <f aca="true">IF(COUNTA('Lista de Preços'!$A205:$W205)&gt;0,IF(AND('Lista de Preços'!$S205&lt;&gt;"",ISNUMBER('Lista de Preços'!$S205),'Lista de Preços'!$S205&lt;TODAY()),"ERRO","OK"),"")</f>
        <v/>
      </c>
      <c r="G216" s="27" t="str">
        <f aca="false">IF(COUNTA('Lista de Preços'!$A205:$W205)&gt;0,IF(AND('Lista de Preços'!$A205&lt;&gt;"",COUNTIF('Lista de Preços'!$A$4:$A$503,'Lista de Preços'!$A205)&gt;1),"ERRO","OK"),"")</f>
        <v/>
      </c>
      <c r="H216" s="27" t="str">
        <f aca="false">IF(COUNTA('Lista de Preços'!$A205:$W205)&gt;0,IF(AND('Lista de Preços'!$N205&lt;&gt;"",ISNUMBER('Lista de Preços'!$N205),OR('Lista de Preços'!$N205&lt;0,'Lista de Preços'!$N205&gt;0.5)),"ERRO","OK"),"")</f>
        <v/>
      </c>
      <c r="I216" s="27" t="str">
        <f aca="false">IF(COUNTA('Lista de Preços'!$A205:$W205)&gt;0,IF(OR($C216="ERRO",$D216="ERRO",$E216="ERRO",$F216="ERRO",$G216="ERRO",$H216="ERRO"),"FALHA","OK"),"")</f>
        <v/>
      </c>
    </row>
    <row r="217" customFormat="false" ht="15" hidden="false" customHeight="false" outlineLevel="0" collapsed="false">
      <c r="A217" s="26" t="n">
        <f aca="false">'Lista de Preços'!$A206</f>
        <v>0</v>
      </c>
      <c r="B217" s="26" t="n">
        <f aca="false">'Lista de Preços'!$B206</f>
        <v>0</v>
      </c>
      <c r="C217" s="27" t="str">
        <f aca="false">IF(COUNTA('Lista de Preços'!$A206:$W206)&gt;0,IF((COUNTBLANK('Lista de Preços'!$A206)+COUNTBLANK('Lista de Preços'!$B206)+COUNTBLANK('Lista de Preços'!$C206)+COUNTBLANK('Lista de Preços'!$D206)+COUNTBLANK('Lista de Preços'!$E206)+COUNTBLANK('Lista de Preços'!$F206)+COUNTBLANK('Lista de Preços'!$L206)+COUNTBLANK('Lista de Preços'!$M206)+COUNTBLANK('Lista de Preços'!$P206)+COUNTBLANK('Lista de Preços'!$U206)+COUNTBLANK('Lista de Preços'!$V206))&gt;0,"ERRO","OK"),"")</f>
        <v/>
      </c>
      <c r="D217" s="27" t="str">
        <f aca="false">IF(COUNTA('Lista de Preços'!$A206:$W206)&gt;0,IF(OR(AND('Lista de Preços'!$L206&lt;&gt;"",NOT(ISNUMBER('Lista de Preços'!$L206))),AND('Lista de Preços'!$M206&lt;&gt;"",NOT(ISNUMBER('Lista de Preços'!$M206)))),"ERRO","OK"),"")</f>
        <v/>
      </c>
      <c r="E217" s="27" t="str">
        <f aca="false">IF(COUNTA('Lista de Preços'!$A206:$W206)&gt;0,IF(AND(ISNUMBER('Lista de Preços'!$L206),ISNUMBER('Lista de Preços'!$M206),'Lista de Preços'!$L206&gt;'Lista de Preços'!$M206),"ERRO","OK"),"")</f>
        <v/>
      </c>
      <c r="F217" s="27" t="str">
        <f aca="true">IF(COUNTA('Lista de Preços'!$A206:$W206)&gt;0,IF(AND('Lista de Preços'!$S206&lt;&gt;"",ISNUMBER('Lista de Preços'!$S206),'Lista de Preços'!$S206&lt;TODAY()),"ERRO","OK"),"")</f>
        <v/>
      </c>
      <c r="G217" s="27" t="str">
        <f aca="false">IF(COUNTA('Lista de Preços'!$A206:$W206)&gt;0,IF(AND('Lista de Preços'!$A206&lt;&gt;"",COUNTIF('Lista de Preços'!$A$4:$A$503,'Lista de Preços'!$A206)&gt;1),"ERRO","OK"),"")</f>
        <v/>
      </c>
      <c r="H217" s="27" t="str">
        <f aca="false">IF(COUNTA('Lista de Preços'!$A206:$W206)&gt;0,IF(AND('Lista de Preços'!$N206&lt;&gt;"",ISNUMBER('Lista de Preços'!$N206),OR('Lista de Preços'!$N206&lt;0,'Lista de Preços'!$N206&gt;0.5)),"ERRO","OK"),"")</f>
        <v/>
      </c>
      <c r="I217" s="27" t="str">
        <f aca="false">IF(COUNTA('Lista de Preços'!$A206:$W206)&gt;0,IF(OR($C217="ERRO",$D217="ERRO",$E217="ERRO",$F217="ERRO",$G217="ERRO",$H217="ERRO"),"FALHA","OK"),"")</f>
        <v/>
      </c>
    </row>
    <row r="218" customFormat="false" ht="15" hidden="false" customHeight="false" outlineLevel="0" collapsed="false">
      <c r="A218" s="26" t="n">
        <f aca="false">'Lista de Preços'!$A207</f>
        <v>0</v>
      </c>
      <c r="B218" s="26" t="n">
        <f aca="false">'Lista de Preços'!$B207</f>
        <v>0</v>
      </c>
      <c r="C218" s="27" t="str">
        <f aca="false">IF(COUNTA('Lista de Preços'!$A207:$W207)&gt;0,IF((COUNTBLANK('Lista de Preços'!$A207)+COUNTBLANK('Lista de Preços'!$B207)+COUNTBLANK('Lista de Preços'!$C207)+COUNTBLANK('Lista de Preços'!$D207)+COUNTBLANK('Lista de Preços'!$E207)+COUNTBLANK('Lista de Preços'!$F207)+COUNTBLANK('Lista de Preços'!$L207)+COUNTBLANK('Lista de Preços'!$M207)+COUNTBLANK('Lista de Preços'!$P207)+COUNTBLANK('Lista de Preços'!$U207)+COUNTBLANK('Lista de Preços'!$V207))&gt;0,"ERRO","OK"),"")</f>
        <v/>
      </c>
      <c r="D218" s="27" t="str">
        <f aca="false">IF(COUNTA('Lista de Preços'!$A207:$W207)&gt;0,IF(OR(AND('Lista de Preços'!$L207&lt;&gt;"",NOT(ISNUMBER('Lista de Preços'!$L207))),AND('Lista de Preços'!$M207&lt;&gt;"",NOT(ISNUMBER('Lista de Preços'!$M207)))),"ERRO","OK"),"")</f>
        <v/>
      </c>
      <c r="E218" s="27" t="str">
        <f aca="false">IF(COUNTA('Lista de Preços'!$A207:$W207)&gt;0,IF(AND(ISNUMBER('Lista de Preços'!$L207),ISNUMBER('Lista de Preços'!$M207),'Lista de Preços'!$L207&gt;'Lista de Preços'!$M207),"ERRO","OK"),"")</f>
        <v/>
      </c>
      <c r="F218" s="27" t="str">
        <f aca="true">IF(COUNTA('Lista de Preços'!$A207:$W207)&gt;0,IF(AND('Lista de Preços'!$S207&lt;&gt;"",ISNUMBER('Lista de Preços'!$S207),'Lista de Preços'!$S207&lt;TODAY()),"ERRO","OK"),"")</f>
        <v/>
      </c>
      <c r="G218" s="27" t="str">
        <f aca="false">IF(COUNTA('Lista de Preços'!$A207:$W207)&gt;0,IF(AND('Lista de Preços'!$A207&lt;&gt;"",COUNTIF('Lista de Preços'!$A$4:$A$503,'Lista de Preços'!$A207)&gt;1),"ERRO","OK"),"")</f>
        <v/>
      </c>
      <c r="H218" s="27" t="str">
        <f aca="false">IF(COUNTA('Lista de Preços'!$A207:$W207)&gt;0,IF(AND('Lista de Preços'!$N207&lt;&gt;"",ISNUMBER('Lista de Preços'!$N207),OR('Lista de Preços'!$N207&lt;0,'Lista de Preços'!$N207&gt;0.5)),"ERRO","OK"),"")</f>
        <v/>
      </c>
      <c r="I218" s="27" t="str">
        <f aca="false">IF(COUNTA('Lista de Preços'!$A207:$W207)&gt;0,IF(OR($C218="ERRO",$D218="ERRO",$E218="ERRO",$F218="ERRO",$G218="ERRO",$H218="ERRO"),"FALHA","OK"),"")</f>
        <v/>
      </c>
    </row>
    <row r="219" customFormat="false" ht="15" hidden="false" customHeight="false" outlineLevel="0" collapsed="false">
      <c r="A219" s="26" t="n">
        <f aca="false">'Lista de Preços'!$A208</f>
        <v>0</v>
      </c>
      <c r="B219" s="26" t="n">
        <f aca="false">'Lista de Preços'!$B208</f>
        <v>0</v>
      </c>
      <c r="C219" s="27" t="str">
        <f aca="false">IF(COUNTA('Lista de Preços'!$A208:$W208)&gt;0,IF((COUNTBLANK('Lista de Preços'!$A208)+COUNTBLANK('Lista de Preços'!$B208)+COUNTBLANK('Lista de Preços'!$C208)+COUNTBLANK('Lista de Preços'!$D208)+COUNTBLANK('Lista de Preços'!$E208)+COUNTBLANK('Lista de Preços'!$F208)+COUNTBLANK('Lista de Preços'!$L208)+COUNTBLANK('Lista de Preços'!$M208)+COUNTBLANK('Lista de Preços'!$P208)+COUNTBLANK('Lista de Preços'!$U208)+COUNTBLANK('Lista de Preços'!$V208))&gt;0,"ERRO","OK"),"")</f>
        <v/>
      </c>
      <c r="D219" s="27" t="str">
        <f aca="false">IF(COUNTA('Lista de Preços'!$A208:$W208)&gt;0,IF(OR(AND('Lista de Preços'!$L208&lt;&gt;"",NOT(ISNUMBER('Lista de Preços'!$L208))),AND('Lista de Preços'!$M208&lt;&gt;"",NOT(ISNUMBER('Lista de Preços'!$M208)))),"ERRO","OK"),"")</f>
        <v/>
      </c>
      <c r="E219" s="27" t="str">
        <f aca="false">IF(COUNTA('Lista de Preços'!$A208:$W208)&gt;0,IF(AND(ISNUMBER('Lista de Preços'!$L208),ISNUMBER('Lista de Preços'!$M208),'Lista de Preços'!$L208&gt;'Lista de Preços'!$M208),"ERRO","OK"),"")</f>
        <v/>
      </c>
      <c r="F219" s="27" t="str">
        <f aca="true">IF(COUNTA('Lista de Preços'!$A208:$W208)&gt;0,IF(AND('Lista de Preços'!$S208&lt;&gt;"",ISNUMBER('Lista de Preços'!$S208),'Lista de Preços'!$S208&lt;TODAY()),"ERRO","OK"),"")</f>
        <v/>
      </c>
      <c r="G219" s="27" t="str">
        <f aca="false">IF(COUNTA('Lista de Preços'!$A208:$W208)&gt;0,IF(AND('Lista de Preços'!$A208&lt;&gt;"",COUNTIF('Lista de Preços'!$A$4:$A$503,'Lista de Preços'!$A208)&gt;1),"ERRO","OK"),"")</f>
        <v/>
      </c>
      <c r="H219" s="27" t="str">
        <f aca="false">IF(COUNTA('Lista de Preços'!$A208:$W208)&gt;0,IF(AND('Lista de Preços'!$N208&lt;&gt;"",ISNUMBER('Lista de Preços'!$N208),OR('Lista de Preços'!$N208&lt;0,'Lista de Preços'!$N208&gt;0.5)),"ERRO","OK"),"")</f>
        <v/>
      </c>
      <c r="I219" s="27" t="str">
        <f aca="false">IF(COUNTA('Lista de Preços'!$A208:$W208)&gt;0,IF(OR($C219="ERRO",$D219="ERRO",$E219="ERRO",$F219="ERRO",$G219="ERRO",$H219="ERRO"),"FALHA","OK"),"")</f>
        <v/>
      </c>
    </row>
    <row r="220" customFormat="false" ht="15" hidden="false" customHeight="false" outlineLevel="0" collapsed="false">
      <c r="A220" s="26" t="n">
        <f aca="false">'Lista de Preços'!$A209</f>
        <v>0</v>
      </c>
      <c r="B220" s="26" t="n">
        <f aca="false">'Lista de Preços'!$B209</f>
        <v>0</v>
      </c>
      <c r="C220" s="27" t="str">
        <f aca="false">IF(COUNTA('Lista de Preços'!$A209:$W209)&gt;0,IF((COUNTBLANK('Lista de Preços'!$A209)+COUNTBLANK('Lista de Preços'!$B209)+COUNTBLANK('Lista de Preços'!$C209)+COUNTBLANK('Lista de Preços'!$D209)+COUNTBLANK('Lista de Preços'!$E209)+COUNTBLANK('Lista de Preços'!$F209)+COUNTBLANK('Lista de Preços'!$L209)+COUNTBLANK('Lista de Preços'!$M209)+COUNTBLANK('Lista de Preços'!$P209)+COUNTBLANK('Lista de Preços'!$U209)+COUNTBLANK('Lista de Preços'!$V209))&gt;0,"ERRO","OK"),"")</f>
        <v/>
      </c>
      <c r="D220" s="27" t="str">
        <f aca="false">IF(COUNTA('Lista de Preços'!$A209:$W209)&gt;0,IF(OR(AND('Lista de Preços'!$L209&lt;&gt;"",NOT(ISNUMBER('Lista de Preços'!$L209))),AND('Lista de Preços'!$M209&lt;&gt;"",NOT(ISNUMBER('Lista de Preços'!$M209)))),"ERRO","OK"),"")</f>
        <v/>
      </c>
      <c r="E220" s="27" t="str">
        <f aca="false">IF(COUNTA('Lista de Preços'!$A209:$W209)&gt;0,IF(AND(ISNUMBER('Lista de Preços'!$L209),ISNUMBER('Lista de Preços'!$M209),'Lista de Preços'!$L209&gt;'Lista de Preços'!$M209),"ERRO","OK"),"")</f>
        <v/>
      </c>
      <c r="F220" s="27" t="str">
        <f aca="true">IF(COUNTA('Lista de Preços'!$A209:$W209)&gt;0,IF(AND('Lista de Preços'!$S209&lt;&gt;"",ISNUMBER('Lista de Preços'!$S209),'Lista de Preços'!$S209&lt;TODAY()),"ERRO","OK"),"")</f>
        <v/>
      </c>
      <c r="G220" s="27" t="str">
        <f aca="false">IF(COUNTA('Lista de Preços'!$A209:$W209)&gt;0,IF(AND('Lista de Preços'!$A209&lt;&gt;"",COUNTIF('Lista de Preços'!$A$4:$A$503,'Lista de Preços'!$A209)&gt;1),"ERRO","OK"),"")</f>
        <v/>
      </c>
      <c r="H220" s="27" t="str">
        <f aca="false">IF(COUNTA('Lista de Preços'!$A209:$W209)&gt;0,IF(AND('Lista de Preços'!$N209&lt;&gt;"",ISNUMBER('Lista de Preços'!$N209),OR('Lista de Preços'!$N209&lt;0,'Lista de Preços'!$N209&gt;0.5)),"ERRO","OK"),"")</f>
        <v/>
      </c>
      <c r="I220" s="27" t="str">
        <f aca="false">IF(COUNTA('Lista de Preços'!$A209:$W209)&gt;0,IF(OR($C220="ERRO",$D220="ERRO",$E220="ERRO",$F220="ERRO",$G220="ERRO",$H220="ERRO"),"FALHA","OK"),"")</f>
        <v/>
      </c>
    </row>
    <row r="221" customFormat="false" ht="15" hidden="false" customHeight="false" outlineLevel="0" collapsed="false">
      <c r="A221" s="26" t="n">
        <f aca="false">'Lista de Preços'!$A210</f>
        <v>0</v>
      </c>
      <c r="B221" s="26" t="n">
        <f aca="false">'Lista de Preços'!$B210</f>
        <v>0</v>
      </c>
      <c r="C221" s="27" t="str">
        <f aca="false">IF(COUNTA('Lista de Preços'!$A210:$W210)&gt;0,IF((COUNTBLANK('Lista de Preços'!$A210)+COUNTBLANK('Lista de Preços'!$B210)+COUNTBLANK('Lista de Preços'!$C210)+COUNTBLANK('Lista de Preços'!$D210)+COUNTBLANK('Lista de Preços'!$E210)+COUNTBLANK('Lista de Preços'!$F210)+COUNTBLANK('Lista de Preços'!$L210)+COUNTBLANK('Lista de Preços'!$M210)+COUNTBLANK('Lista de Preços'!$P210)+COUNTBLANK('Lista de Preços'!$U210)+COUNTBLANK('Lista de Preços'!$V210))&gt;0,"ERRO","OK"),"")</f>
        <v/>
      </c>
      <c r="D221" s="27" t="str">
        <f aca="false">IF(COUNTA('Lista de Preços'!$A210:$W210)&gt;0,IF(OR(AND('Lista de Preços'!$L210&lt;&gt;"",NOT(ISNUMBER('Lista de Preços'!$L210))),AND('Lista de Preços'!$M210&lt;&gt;"",NOT(ISNUMBER('Lista de Preços'!$M210)))),"ERRO","OK"),"")</f>
        <v/>
      </c>
      <c r="E221" s="27" t="str">
        <f aca="false">IF(COUNTA('Lista de Preços'!$A210:$W210)&gt;0,IF(AND(ISNUMBER('Lista de Preços'!$L210),ISNUMBER('Lista de Preços'!$M210),'Lista de Preços'!$L210&gt;'Lista de Preços'!$M210),"ERRO","OK"),"")</f>
        <v/>
      </c>
      <c r="F221" s="27" t="str">
        <f aca="true">IF(COUNTA('Lista de Preços'!$A210:$W210)&gt;0,IF(AND('Lista de Preços'!$S210&lt;&gt;"",ISNUMBER('Lista de Preços'!$S210),'Lista de Preços'!$S210&lt;TODAY()),"ERRO","OK"),"")</f>
        <v/>
      </c>
      <c r="G221" s="27" t="str">
        <f aca="false">IF(COUNTA('Lista de Preços'!$A210:$W210)&gt;0,IF(AND('Lista de Preços'!$A210&lt;&gt;"",COUNTIF('Lista de Preços'!$A$4:$A$503,'Lista de Preços'!$A210)&gt;1),"ERRO","OK"),"")</f>
        <v/>
      </c>
      <c r="H221" s="27" t="str">
        <f aca="false">IF(COUNTA('Lista de Preços'!$A210:$W210)&gt;0,IF(AND('Lista de Preços'!$N210&lt;&gt;"",ISNUMBER('Lista de Preços'!$N210),OR('Lista de Preços'!$N210&lt;0,'Lista de Preços'!$N210&gt;0.5)),"ERRO","OK"),"")</f>
        <v/>
      </c>
      <c r="I221" s="27" t="str">
        <f aca="false">IF(COUNTA('Lista de Preços'!$A210:$W210)&gt;0,IF(OR($C221="ERRO",$D221="ERRO",$E221="ERRO",$F221="ERRO",$G221="ERRO",$H221="ERRO"),"FALHA","OK"),"")</f>
        <v/>
      </c>
    </row>
    <row r="222" customFormat="false" ht="15" hidden="false" customHeight="false" outlineLevel="0" collapsed="false">
      <c r="A222" s="26" t="n">
        <f aca="false">'Lista de Preços'!$A211</f>
        <v>0</v>
      </c>
      <c r="B222" s="26" t="n">
        <f aca="false">'Lista de Preços'!$B211</f>
        <v>0</v>
      </c>
      <c r="C222" s="27" t="str">
        <f aca="false">IF(COUNTA('Lista de Preços'!$A211:$W211)&gt;0,IF((COUNTBLANK('Lista de Preços'!$A211)+COUNTBLANK('Lista de Preços'!$B211)+COUNTBLANK('Lista de Preços'!$C211)+COUNTBLANK('Lista de Preços'!$D211)+COUNTBLANK('Lista de Preços'!$E211)+COUNTBLANK('Lista de Preços'!$F211)+COUNTBLANK('Lista de Preços'!$L211)+COUNTBLANK('Lista de Preços'!$M211)+COUNTBLANK('Lista de Preços'!$P211)+COUNTBLANK('Lista de Preços'!$U211)+COUNTBLANK('Lista de Preços'!$V211))&gt;0,"ERRO","OK"),"")</f>
        <v/>
      </c>
      <c r="D222" s="27" t="str">
        <f aca="false">IF(COUNTA('Lista de Preços'!$A211:$W211)&gt;0,IF(OR(AND('Lista de Preços'!$L211&lt;&gt;"",NOT(ISNUMBER('Lista de Preços'!$L211))),AND('Lista de Preços'!$M211&lt;&gt;"",NOT(ISNUMBER('Lista de Preços'!$M211)))),"ERRO","OK"),"")</f>
        <v/>
      </c>
      <c r="E222" s="27" t="str">
        <f aca="false">IF(COUNTA('Lista de Preços'!$A211:$W211)&gt;0,IF(AND(ISNUMBER('Lista de Preços'!$L211),ISNUMBER('Lista de Preços'!$M211),'Lista de Preços'!$L211&gt;'Lista de Preços'!$M211),"ERRO","OK"),"")</f>
        <v/>
      </c>
      <c r="F222" s="27" t="str">
        <f aca="true">IF(COUNTA('Lista de Preços'!$A211:$W211)&gt;0,IF(AND('Lista de Preços'!$S211&lt;&gt;"",ISNUMBER('Lista de Preços'!$S211),'Lista de Preços'!$S211&lt;TODAY()),"ERRO","OK"),"")</f>
        <v/>
      </c>
      <c r="G222" s="27" t="str">
        <f aca="false">IF(COUNTA('Lista de Preços'!$A211:$W211)&gt;0,IF(AND('Lista de Preços'!$A211&lt;&gt;"",COUNTIF('Lista de Preços'!$A$4:$A$503,'Lista de Preços'!$A211)&gt;1),"ERRO","OK"),"")</f>
        <v/>
      </c>
      <c r="H222" s="27" t="str">
        <f aca="false">IF(COUNTA('Lista de Preços'!$A211:$W211)&gt;0,IF(AND('Lista de Preços'!$N211&lt;&gt;"",ISNUMBER('Lista de Preços'!$N211),OR('Lista de Preços'!$N211&lt;0,'Lista de Preços'!$N211&gt;0.5)),"ERRO","OK"),"")</f>
        <v/>
      </c>
      <c r="I222" s="27" t="str">
        <f aca="false">IF(COUNTA('Lista de Preços'!$A211:$W211)&gt;0,IF(OR($C222="ERRO",$D222="ERRO",$E222="ERRO",$F222="ERRO",$G222="ERRO",$H222="ERRO"),"FALHA","OK"),"")</f>
        <v/>
      </c>
    </row>
    <row r="223" customFormat="false" ht="15" hidden="false" customHeight="false" outlineLevel="0" collapsed="false">
      <c r="A223" s="26" t="n">
        <f aca="false">'Lista de Preços'!$A212</f>
        <v>0</v>
      </c>
      <c r="B223" s="26" t="n">
        <f aca="false">'Lista de Preços'!$B212</f>
        <v>0</v>
      </c>
      <c r="C223" s="27" t="str">
        <f aca="false">IF(COUNTA('Lista de Preços'!$A212:$W212)&gt;0,IF((COUNTBLANK('Lista de Preços'!$A212)+COUNTBLANK('Lista de Preços'!$B212)+COUNTBLANK('Lista de Preços'!$C212)+COUNTBLANK('Lista de Preços'!$D212)+COUNTBLANK('Lista de Preços'!$E212)+COUNTBLANK('Lista de Preços'!$F212)+COUNTBLANK('Lista de Preços'!$L212)+COUNTBLANK('Lista de Preços'!$M212)+COUNTBLANK('Lista de Preços'!$P212)+COUNTBLANK('Lista de Preços'!$U212)+COUNTBLANK('Lista de Preços'!$V212))&gt;0,"ERRO","OK"),"")</f>
        <v/>
      </c>
      <c r="D223" s="27" t="str">
        <f aca="false">IF(COUNTA('Lista de Preços'!$A212:$W212)&gt;0,IF(OR(AND('Lista de Preços'!$L212&lt;&gt;"",NOT(ISNUMBER('Lista de Preços'!$L212))),AND('Lista de Preços'!$M212&lt;&gt;"",NOT(ISNUMBER('Lista de Preços'!$M212)))),"ERRO","OK"),"")</f>
        <v/>
      </c>
      <c r="E223" s="27" t="str">
        <f aca="false">IF(COUNTA('Lista de Preços'!$A212:$W212)&gt;0,IF(AND(ISNUMBER('Lista de Preços'!$L212),ISNUMBER('Lista de Preços'!$M212),'Lista de Preços'!$L212&gt;'Lista de Preços'!$M212),"ERRO","OK"),"")</f>
        <v/>
      </c>
      <c r="F223" s="27" t="str">
        <f aca="true">IF(COUNTA('Lista de Preços'!$A212:$W212)&gt;0,IF(AND('Lista de Preços'!$S212&lt;&gt;"",ISNUMBER('Lista de Preços'!$S212),'Lista de Preços'!$S212&lt;TODAY()),"ERRO","OK"),"")</f>
        <v/>
      </c>
      <c r="G223" s="27" t="str">
        <f aca="false">IF(COUNTA('Lista de Preços'!$A212:$W212)&gt;0,IF(AND('Lista de Preços'!$A212&lt;&gt;"",COUNTIF('Lista de Preços'!$A$4:$A$503,'Lista de Preços'!$A212)&gt;1),"ERRO","OK"),"")</f>
        <v/>
      </c>
      <c r="H223" s="27" t="str">
        <f aca="false">IF(COUNTA('Lista de Preços'!$A212:$W212)&gt;0,IF(AND('Lista de Preços'!$N212&lt;&gt;"",ISNUMBER('Lista de Preços'!$N212),OR('Lista de Preços'!$N212&lt;0,'Lista de Preços'!$N212&gt;0.5)),"ERRO","OK"),"")</f>
        <v/>
      </c>
      <c r="I223" s="27" t="str">
        <f aca="false">IF(COUNTA('Lista de Preços'!$A212:$W212)&gt;0,IF(OR($C223="ERRO",$D223="ERRO",$E223="ERRO",$F223="ERRO",$G223="ERRO",$H223="ERRO"),"FALHA","OK"),"")</f>
        <v/>
      </c>
    </row>
    <row r="224" customFormat="false" ht="15" hidden="false" customHeight="false" outlineLevel="0" collapsed="false">
      <c r="A224" s="26" t="n">
        <f aca="false">'Lista de Preços'!$A213</f>
        <v>0</v>
      </c>
      <c r="B224" s="26" t="n">
        <f aca="false">'Lista de Preços'!$B213</f>
        <v>0</v>
      </c>
      <c r="C224" s="27" t="str">
        <f aca="false">IF(COUNTA('Lista de Preços'!$A213:$W213)&gt;0,IF((COUNTBLANK('Lista de Preços'!$A213)+COUNTBLANK('Lista de Preços'!$B213)+COUNTBLANK('Lista de Preços'!$C213)+COUNTBLANK('Lista de Preços'!$D213)+COUNTBLANK('Lista de Preços'!$E213)+COUNTBLANK('Lista de Preços'!$F213)+COUNTBLANK('Lista de Preços'!$L213)+COUNTBLANK('Lista de Preços'!$M213)+COUNTBLANK('Lista de Preços'!$P213)+COUNTBLANK('Lista de Preços'!$U213)+COUNTBLANK('Lista de Preços'!$V213))&gt;0,"ERRO","OK"),"")</f>
        <v/>
      </c>
      <c r="D224" s="27" t="str">
        <f aca="false">IF(COUNTA('Lista de Preços'!$A213:$W213)&gt;0,IF(OR(AND('Lista de Preços'!$L213&lt;&gt;"",NOT(ISNUMBER('Lista de Preços'!$L213))),AND('Lista de Preços'!$M213&lt;&gt;"",NOT(ISNUMBER('Lista de Preços'!$M213)))),"ERRO","OK"),"")</f>
        <v/>
      </c>
      <c r="E224" s="27" t="str">
        <f aca="false">IF(COUNTA('Lista de Preços'!$A213:$W213)&gt;0,IF(AND(ISNUMBER('Lista de Preços'!$L213),ISNUMBER('Lista de Preços'!$M213),'Lista de Preços'!$L213&gt;'Lista de Preços'!$M213),"ERRO","OK"),"")</f>
        <v/>
      </c>
      <c r="F224" s="27" t="str">
        <f aca="true">IF(COUNTA('Lista de Preços'!$A213:$W213)&gt;0,IF(AND('Lista de Preços'!$S213&lt;&gt;"",ISNUMBER('Lista de Preços'!$S213),'Lista de Preços'!$S213&lt;TODAY()),"ERRO","OK"),"")</f>
        <v/>
      </c>
      <c r="G224" s="27" t="str">
        <f aca="false">IF(COUNTA('Lista de Preços'!$A213:$W213)&gt;0,IF(AND('Lista de Preços'!$A213&lt;&gt;"",COUNTIF('Lista de Preços'!$A$4:$A$503,'Lista de Preços'!$A213)&gt;1),"ERRO","OK"),"")</f>
        <v/>
      </c>
      <c r="H224" s="27" t="str">
        <f aca="false">IF(COUNTA('Lista de Preços'!$A213:$W213)&gt;0,IF(AND('Lista de Preços'!$N213&lt;&gt;"",ISNUMBER('Lista de Preços'!$N213),OR('Lista de Preços'!$N213&lt;0,'Lista de Preços'!$N213&gt;0.5)),"ERRO","OK"),"")</f>
        <v/>
      </c>
      <c r="I224" s="27" t="str">
        <f aca="false">IF(COUNTA('Lista de Preços'!$A213:$W213)&gt;0,IF(OR($C224="ERRO",$D224="ERRO",$E224="ERRO",$F224="ERRO",$G224="ERRO",$H224="ERRO"),"FALHA","OK"),"")</f>
        <v/>
      </c>
    </row>
    <row r="225" customFormat="false" ht="15" hidden="false" customHeight="false" outlineLevel="0" collapsed="false">
      <c r="A225" s="26" t="n">
        <f aca="false">'Lista de Preços'!$A214</f>
        <v>0</v>
      </c>
      <c r="B225" s="26" t="n">
        <f aca="false">'Lista de Preços'!$B214</f>
        <v>0</v>
      </c>
      <c r="C225" s="27" t="str">
        <f aca="false">IF(COUNTA('Lista de Preços'!$A214:$W214)&gt;0,IF((COUNTBLANK('Lista de Preços'!$A214)+COUNTBLANK('Lista de Preços'!$B214)+COUNTBLANK('Lista de Preços'!$C214)+COUNTBLANK('Lista de Preços'!$D214)+COUNTBLANK('Lista de Preços'!$E214)+COUNTBLANK('Lista de Preços'!$F214)+COUNTBLANK('Lista de Preços'!$L214)+COUNTBLANK('Lista de Preços'!$M214)+COUNTBLANK('Lista de Preços'!$P214)+COUNTBLANK('Lista de Preços'!$U214)+COUNTBLANK('Lista de Preços'!$V214))&gt;0,"ERRO","OK"),"")</f>
        <v/>
      </c>
      <c r="D225" s="27" t="str">
        <f aca="false">IF(COUNTA('Lista de Preços'!$A214:$W214)&gt;0,IF(OR(AND('Lista de Preços'!$L214&lt;&gt;"",NOT(ISNUMBER('Lista de Preços'!$L214))),AND('Lista de Preços'!$M214&lt;&gt;"",NOT(ISNUMBER('Lista de Preços'!$M214)))),"ERRO","OK"),"")</f>
        <v/>
      </c>
      <c r="E225" s="27" t="str">
        <f aca="false">IF(COUNTA('Lista de Preços'!$A214:$W214)&gt;0,IF(AND(ISNUMBER('Lista de Preços'!$L214),ISNUMBER('Lista de Preços'!$M214),'Lista de Preços'!$L214&gt;'Lista de Preços'!$M214),"ERRO","OK"),"")</f>
        <v/>
      </c>
      <c r="F225" s="27" t="str">
        <f aca="true">IF(COUNTA('Lista de Preços'!$A214:$W214)&gt;0,IF(AND('Lista de Preços'!$S214&lt;&gt;"",ISNUMBER('Lista de Preços'!$S214),'Lista de Preços'!$S214&lt;TODAY()),"ERRO","OK"),"")</f>
        <v/>
      </c>
      <c r="G225" s="27" t="str">
        <f aca="false">IF(COUNTA('Lista de Preços'!$A214:$W214)&gt;0,IF(AND('Lista de Preços'!$A214&lt;&gt;"",COUNTIF('Lista de Preços'!$A$4:$A$503,'Lista de Preços'!$A214)&gt;1),"ERRO","OK"),"")</f>
        <v/>
      </c>
      <c r="H225" s="27" t="str">
        <f aca="false">IF(COUNTA('Lista de Preços'!$A214:$W214)&gt;0,IF(AND('Lista de Preços'!$N214&lt;&gt;"",ISNUMBER('Lista de Preços'!$N214),OR('Lista de Preços'!$N214&lt;0,'Lista de Preços'!$N214&gt;0.5)),"ERRO","OK"),"")</f>
        <v/>
      </c>
      <c r="I225" s="27" t="str">
        <f aca="false">IF(COUNTA('Lista de Preços'!$A214:$W214)&gt;0,IF(OR($C225="ERRO",$D225="ERRO",$E225="ERRO",$F225="ERRO",$G225="ERRO",$H225="ERRO"),"FALHA","OK"),"")</f>
        <v/>
      </c>
    </row>
    <row r="226" customFormat="false" ht="15" hidden="false" customHeight="false" outlineLevel="0" collapsed="false">
      <c r="A226" s="26" t="n">
        <f aca="false">'Lista de Preços'!$A215</f>
        <v>0</v>
      </c>
      <c r="B226" s="26" t="n">
        <f aca="false">'Lista de Preços'!$B215</f>
        <v>0</v>
      </c>
      <c r="C226" s="27" t="str">
        <f aca="false">IF(COUNTA('Lista de Preços'!$A215:$W215)&gt;0,IF((COUNTBLANK('Lista de Preços'!$A215)+COUNTBLANK('Lista de Preços'!$B215)+COUNTBLANK('Lista de Preços'!$C215)+COUNTBLANK('Lista de Preços'!$D215)+COUNTBLANK('Lista de Preços'!$E215)+COUNTBLANK('Lista de Preços'!$F215)+COUNTBLANK('Lista de Preços'!$L215)+COUNTBLANK('Lista de Preços'!$M215)+COUNTBLANK('Lista de Preços'!$P215)+COUNTBLANK('Lista de Preços'!$U215)+COUNTBLANK('Lista de Preços'!$V215))&gt;0,"ERRO","OK"),"")</f>
        <v/>
      </c>
      <c r="D226" s="27" t="str">
        <f aca="false">IF(COUNTA('Lista de Preços'!$A215:$W215)&gt;0,IF(OR(AND('Lista de Preços'!$L215&lt;&gt;"",NOT(ISNUMBER('Lista de Preços'!$L215))),AND('Lista de Preços'!$M215&lt;&gt;"",NOT(ISNUMBER('Lista de Preços'!$M215)))),"ERRO","OK"),"")</f>
        <v/>
      </c>
      <c r="E226" s="27" t="str">
        <f aca="false">IF(COUNTA('Lista de Preços'!$A215:$W215)&gt;0,IF(AND(ISNUMBER('Lista de Preços'!$L215),ISNUMBER('Lista de Preços'!$M215),'Lista de Preços'!$L215&gt;'Lista de Preços'!$M215),"ERRO","OK"),"")</f>
        <v/>
      </c>
      <c r="F226" s="27" t="str">
        <f aca="true">IF(COUNTA('Lista de Preços'!$A215:$W215)&gt;0,IF(AND('Lista de Preços'!$S215&lt;&gt;"",ISNUMBER('Lista de Preços'!$S215),'Lista de Preços'!$S215&lt;TODAY()),"ERRO","OK"),"")</f>
        <v/>
      </c>
      <c r="G226" s="27" t="str">
        <f aca="false">IF(COUNTA('Lista de Preços'!$A215:$W215)&gt;0,IF(AND('Lista de Preços'!$A215&lt;&gt;"",COUNTIF('Lista de Preços'!$A$4:$A$503,'Lista de Preços'!$A215)&gt;1),"ERRO","OK"),"")</f>
        <v/>
      </c>
      <c r="H226" s="27" t="str">
        <f aca="false">IF(COUNTA('Lista de Preços'!$A215:$W215)&gt;0,IF(AND('Lista de Preços'!$N215&lt;&gt;"",ISNUMBER('Lista de Preços'!$N215),OR('Lista de Preços'!$N215&lt;0,'Lista de Preços'!$N215&gt;0.5)),"ERRO","OK"),"")</f>
        <v/>
      </c>
      <c r="I226" s="27" t="str">
        <f aca="false">IF(COUNTA('Lista de Preços'!$A215:$W215)&gt;0,IF(OR($C226="ERRO",$D226="ERRO",$E226="ERRO",$F226="ERRO",$G226="ERRO",$H226="ERRO"),"FALHA","OK"),"")</f>
        <v/>
      </c>
    </row>
    <row r="227" customFormat="false" ht="15" hidden="false" customHeight="false" outlineLevel="0" collapsed="false">
      <c r="A227" s="26" t="n">
        <f aca="false">'Lista de Preços'!$A216</f>
        <v>0</v>
      </c>
      <c r="B227" s="26" t="n">
        <f aca="false">'Lista de Preços'!$B216</f>
        <v>0</v>
      </c>
      <c r="C227" s="27" t="str">
        <f aca="false">IF(COUNTA('Lista de Preços'!$A216:$W216)&gt;0,IF((COUNTBLANK('Lista de Preços'!$A216)+COUNTBLANK('Lista de Preços'!$B216)+COUNTBLANK('Lista de Preços'!$C216)+COUNTBLANK('Lista de Preços'!$D216)+COUNTBLANK('Lista de Preços'!$E216)+COUNTBLANK('Lista de Preços'!$F216)+COUNTBLANK('Lista de Preços'!$L216)+COUNTBLANK('Lista de Preços'!$M216)+COUNTBLANK('Lista de Preços'!$P216)+COUNTBLANK('Lista de Preços'!$U216)+COUNTBLANK('Lista de Preços'!$V216))&gt;0,"ERRO","OK"),"")</f>
        <v/>
      </c>
      <c r="D227" s="27" t="str">
        <f aca="false">IF(COUNTA('Lista de Preços'!$A216:$W216)&gt;0,IF(OR(AND('Lista de Preços'!$L216&lt;&gt;"",NOT(ISNUMBER('Lista de Preços'!$L216))),AND('Lista de Preços'!$M216&lt;&gt;"",NOT(ISNUMBER('Lista de Preços'!$M216)))),"ERRO","OK"),"")</f>
        <v/>
      </c>
      <c r="E227" s="27" t="str">
        <f aca="false">IF(COUNTA('Lista de Preços'!$A216:$W216)&gt;0,IF(AND(ISNUMBER('Lista de Preços'!$L216),ISNUMBER('Lista de Preços'!$M216),'Lista de Preços'!$L216&gt;'Lista de Preços'!$M216),"ERRO","OK"),"")</f>
        <v/>
      </c>
      <c r="F227" s="27" t="str">
        <f aca="true">IF(COUNTA('Lista de Preços'!$A216:$W216)&gt;0,IF(AND('Lista de Preços'!$S216&lt;&gt;"",ISNUMBER('Lista de Preços'!$S216),'Lista de Preços'!$S216&lt;TODAY()),"ERRO","OK"),"")</f>
        <v/>
      </c>
      <c r="G227" s="27" t="str">
        <f aca="false">IF(COUNTA('Lista de Preços'!$A216:$W216)&gt;0,IF(AND('Lista de Preços'!$A216&lt;&gt;"",COUNTIF('Lista de Preços'!$A$4:$A$503,'Lista de Preços'!$A216)&gt;1),"ERRO","OK"),"")</f>
        <v/>
      </c>
      <c r="H227" s="27" t="str">
        <f aca="false">IF(COUNTA('Lista de Preços'!$A216:$W216)&gt;0,IF(AND('Lista de Preços'!$N216&lt;&gt;"",ISNUMBER('Lista de Preços'!$N216),OR('Lista de Preços'!$N216&lt;0,'Lista de Preços'!$N216&gt;0.5)),"ERRO","OK"),"")</f>
        <v/>
      </c>
      <c r="I227" s="27" t="str">
        <f aca="false">IF(COUNTA('Lista de Preços'!$A216:$W216)&gt;0,IF(OR($C227="ERRO",$D227="ERRO",$E227="ERRO",$F227="ERRO",$G227="ERRO",$H227="ERRO"),"FALHA","OK"),"")</f>
        <v/>
      </c>
    </row>
    <row r="228" customFormat="false" ht="15" hidden="false" customHeight="false" outlineLevel="0" collapsed="false">
      <c r="A228" s="26" t="n">
        <f aca="false">'Lista de Preços'!$A217</f>
        <v>0</v>
      </c>
      <c r="B228" s="26" t="n">
        <f aca="false">'Lista de Preços'!$B217</f>
        <v>0</v>
      </c>
      <c r="C228" s="27" t="str">
        <f aca="false">IF(COUNTA('Lista de Preços'!$A217:$W217)&gt;0,IF((COUNTBLANK('Lista de Preços'!$A217)+COUNTBLANK('Lista de Preços'!$B217)+COUNTBLANK('Lista de Preços'!$C217)+COUNTBLANK('Lista de Preços'!$D217)+COUNTBLANK('Lista de Preços'!$E217)+COUNTBLANK('Lista de Preços'!$F217)+COUNTBLANK('Lista de Preços'!$L217)+COUNTBLANK('Lista de Preços'!$M217)+COUNTBLANK('Lista de Preços'!$P217)+COUNTBLANK('Lista de Preços'!$U217)+COUNTBLANK('Lista de Preços'!$V217))&gt;0,"ERRO","OK"),"")</f>
        <v/>
      </c>
      <c r="D228" s="27" t="str">
        <f aca="false">IF(COUNTA('Lista de Preços'!$A217:$W217)&gt;0,IF(OR(AND('Lista de Preços'!$L217&lt;&gt;"",NOT(ISNUMBER('Lista de Preços'!$L217))),AND('Lista de Preços'!$M217&lt;&gt;"",NOT(ISNUMBER('Lista de Preços'!$M217)))),"ERRO","OK"),"")</f>
        <v/>
      </c>
      <c r="E228" s="27" t="str">
        <f aca="false">IF(COUNTA('Lista de Preços'!$A217:$W217)&gt;0,IF(AND(ISNUMBER('Lista de Preços'!$L217),ISNUMBER('Lista de Preços'!$M217),'Lista de Preços'!$L217&gt;'Lista de Preços'!$M217),"ERRO","OK"),"")</f>
        <v/>
      </c>
      <c r="F228" s="27" t="str">
        <f aca="true">IF(COUNTA('Lista de Preços'!$A217:$W217)&gt;0,IF(AND('Lista de Preços'!$S217&lt;&gt;"",ISNUMBER('Lista de Preços'!$S217),'Lista de Preços'!$S217&lt;TODAY()),"ERRO","OK"),"")</f>
        <v/>
      </c>
      <c r="G228" s="27" t="str">
        <f aca="false">IF(COUNTA('Lista de Preços'!$A217:$W217)&gt;0,IF(AND('Lista de Preços'!$A217&lt;&gt;"",COUNTIF('Lista de Preços'!$A$4:$A$503,'Lista de Preços'!$A217)&gt;1),"ERRO","OK"),"")</f>
        <v/>
      </c>
      <c r="H228" s="27" t="str">
        <f aca="false">IF(COUNTA('Lista de Preços'!$A217:$W217)&gt;0,IF(AND('Lista de Preços'!$N217&lt;&gt;"",ISNUMBER('Lista de Preços'!$N217),OR('Lista de Preços'!$N217&lt;0,'Lista de Preços'!$N217&gt;0.5)),"ERRO","OK"),"")</f>
        <v/>
      </c>
      <c r="I228" s="27" t="str">
        <f aca="false">IF(COUNTA('Lista de Preços'!$A217:$W217)&gt;0,IF(OR($C228="ERRO",$D228="ERRO",$E228="ERRO",$F228="ERRO",$G228="ERRO",$H228="ERRO"),"FALHA","OK"),"")</f>
        <v/>
      </c>
    </row>
    <row r="229" customFormat="false" ht="15" hidden="false" customHeight="false" outlineLevel="0" collapsed="false">
      <c r="A229" s="26" t="n">
        <f aca="false">'Lista de Preços'!$A218</f>
        <v>0</v>
      </c>
      <c r="B229" s="26" t="n">
        <f aca="false">'Lista de Preços'!$B218</f>
        <v>0</v>
      </c>
      <c r="C229" s="27" t="str">
        <f aca="false">IF(COUNTA('Lista de Preços'!$A218:$W218)&gt;0,IF((COUNTBLANK('Lista de Preços'!$A218)+COUNTBLANK('Lista de Preços'!$B218)+COUNTBLANK('Lista de Preços'!$C218)+COUNTBLANK('Lista de Preços'!$D218)+COUNTBLANK('Lista de Preços'!$E218)+COUNTBLANK('Lista de Preços'!$F218)+COUNTBLANK('Lista de Preços'!$L218)+COUNTBLANK('Lista de Preços'!$M218)+COUNTBLANK('Lista de Preços'!$P218)+COUNTBLANK('Lista de Preços'!$U218)+COUNTBLANK('Lista de Preços'!$V218))&gt;0,"ERRO","OK"),"")</f>
        <v/>
      </c>
      <c r="D229" s="27" t="str">
        <f aca="false">IF(COUNTA('Lista de Preços'!$A218:$W218)&gt;0,IF(OR(AND('Lista de Preços'!$L218&lt;&gt;"",NOT(ISNUMBER('Lista de Preços'!$L218))),AND('Lista de Preços'!$M218&lt;&gt;"",NOT(ISNUMBER('Lista de Preços'!$M218)))),"ERRO","OK"),"")</f>
        <v/>
      </c>
      <c r="E229" s="27" t="str">
        <f aca="false">IF(COUNTA('Lista de Preços'!$A218:$W218)&gt;0,IF(AND(ISNUMBER('Lista de Preços'!$L218),ISNUMBER('Lista de Preços'!$M218),'Lista de Preços'!$L218&gt;'Lista de Preços'!$M218),"ERRO","OK"),"")</f>
        <v/>
      </c>
      <c r="F229" s="27" t="str">
        <f aca="true">IF(COUNTA('Lista de Preços'!$A218:$W218)&gt;0,IF(AND('Lista de Preços'!$S218&lt;&gt;"",ISNUMBER('Lista de Preços'!$S218),'Lista de Preços'!$S218&lt;TODAY()),"ERRO","OK"),"")</f>
        <v/>
      </c>
      <c r="G229" s="27" t="str">
        <f aca="false">IF(COUNTA('Lista de Preços'!$A218:$W218)&gt;0,IF(AND('Lista de Preços'!$A218&lt;&gt;"",COUNTIF('Lista de Preços'!$A$4:$A$503,'Lista de Preços'!$A218)&gt;1),"ERRO","OK"),"")</f>
        <v/>
      </c>
      <c r="H229" s="27" t="str">
        <f aca="false">IF(COUNTA('Lista de Preços'!$A218:$W218)&gt;0,IF(AND('Lista de Preços'!$N218&lt;&gt;"",ISNUMBER('Lista de Preços'!$N218),OR('Lista de Preços'!$N218&lt;0,'Lista de Preços'!$N218&gt;0.5)),"ERRO","OK"),"")</f>
        <v/>
      </c>
      <c r="I229" s="27" t="str">
        <f aca="false">IF(COUNTA('Lista de Preços'!$A218:$W218)&gt;0,IF(OR($C229="ERRO",$D229="ERRO",$E229="ERRO",$F229="ERRO",$G229="ERRO",$H229="ERRO"),"FALHA","OK"),"")</f>
        <v/>
      </c>
    </row>
    <row r="230" customFormat="false" ht="15" hidden="false" customHeight="false" outlineLevel="0" collapsed="false">
      <c r="A230" s="26" t="n">
        <f aca="false">'Lista de Preços'!$A219</f>
        <v>0</v>
      </c>
      <c r="B230" s="26" t="n">
        <f aca="false">'Lista de Preços'!$B219</f>
        <v>0</v>
      </c>
      <c r="C230" s="27" t="str">
        <f aca="false">IF(COUNTA('Lista de Preços'!$A219:$W219)&gt;0,IF((COUNTBLANK('Lista de Preços'!$A219)+COUNTBLANK('Lista de Preços'!$B219)+COUNTBLANK('Lista de Preços'!$C219)+COUNTBLANK('Lista de Preços'!$D219)+COUNTBLANK('Lista de Preços'!$E219)+COUNTBLANK('Lista de Preços'!$F219)+COUNTBLANK('Lista de Preços'!$L219)+COUNTBLANK('Lista de Preços'!$M219)+COUNTBLANK('Lista de Preços'!$P219)+COUNTBLANK('Lista de Preços'!$U219)+COUNTBLANK('Lista de Preços'!$V219))&gt;0,"ERRO","OK"),"")</f>
        <v/>
      </c>
      <c r="D230" s="27" t="str">
        <f aca="false">IF(COUNTA('Lista de Preços'!$A219:$W219)&gt;0,IF(OR(AND('Lista de Preços'!$L219&lt;&gt;"",NOT(ISNUMBER('Lista de Preços'!$L219))),AND('Lista de Preços'!$M219&lt;&gt;"",NOT(ISNUMBER('Lista de Preços'!$M219)))),"ERRO","OK"),"")</f>
        <v/>
      </c>
      <c r="E230" s="27" t="str">
        <f aca="false">IF(COUNTA('Lista de Preços'!$A219:$W219)&gt;0,IF(AND(ISNUMBER('Lista de Preços'!$L219),ISNUMBER('Lista de Preços'!$M219),'Lista de Preços'!$L219&gt;'Lista de Preços'!$M219),"ERRO","OK"),"")</f>
        <v/>
      </c>
      <c r="F230" s="27" t="str">
        <f aca="true">IF(COUNTA('Lista de Preços'!$A219:$W219)&gt;0,IF(AND('Lista de Preços'!$S219&lt;&gt;"",ISNUMBER('Lista de Preços'!$S219),'Lista de Preços'!$S219&lt;TODAY()),"ERRO","OK"),"")</f>
        <v/>
      </c>
      <c r="G230" s="27" t="str">
        <f aca="false">IF(COUNTA('Lista de Preços'!$A219:$W219)&gt;0,IF(AND('Lista de Preços'!$A219&lt;&gt;"",COUNTIF('Lista de Preços'!$A$4:$A$503,'Lista de Preços'!$A219)&gt;1),"ERRO","OK"),"")</f>
        <v/>
      </c>
      <c r="H230" s="27" t="str">
        <f aca="false">IF(COUNTA('Lista de Preços'!$A219:$W219)&gt;0,IF(AND('Lista de Preços'!$N219&lt;&gt;"",ISNUMBER('Lista de Preços'!$N219),OR('Lista de Preços'!$N219&lt;0,'Lista de Preços'!$N219&gt;0.5)),"ERRO","OK"),"")</f>
        <v/>
      </c>
      <c r="I230" s="27" t="str">
        <f aca="false">IF(COUNTA('Lista de Preços'!$A219:$W219)&gt;0,IF(OR($C230="ERRO",$D230="ERRO",$E230="ERRO",$F230="ERRO",$G230="ERRO",$H230="ERRO"),"FALHA","OK"),"")</f>
        <v/>
      </c>
    </row>
    <row r="231" customFormat="false" ht="15" hidden="false" customHeight="false" outlineLevel="0" collapsed="false">
      <c r="A231" s="26" t="n">
        <f aca="false">'Lista de Preços'!$A220</f>
        <v>0</v>
      </c>
      <c r="B231" s="26" t="n">
        <f aca="false">'Lista de Preços'!$B220</f>
        <v>0</v>
      </c>
      <c r="C231" s="27" t="str">
        <f aca="false">IF(COUNTA('Lista de Preços'!$A220:$W220)&gt;0,IF((COUNTBLANK('Lista de Preços'!$A220)+COUNTBLANK('Lista de Preços'!$B220)+COUNTBLANK('Lista de Preços'!$C220)+COUNTBLANK('Lista de Preços'!$D220)+COUNTBLANK('Lista de Preços'!$E220)+COUNTBLANK('Lista de Preços'!$F220)+COUNTBLANK('Lista de Preços'!$L220)+COUNTBLANK('Lista de Preços'!$M220)+COUNTBLANK('Lista de Preços'!$P220)+COUNTBLANK('Lista de Preços'!$U220)+COUNTBLANK('Lista de Preços'!$V220))&gt;0,"ERRO","OK"),"")</f>
        <v/>
      </c>
      <c r="D231" s="27" t="str">
        <f aca="false">IF(COUNTA('Lista de Preços'!$A220:$W220)&gt;0,IF(OR(AND('Lista de Preços'!$L220&lt;&gt;"",NOT(ISNUMBER('Lista de Preços'!$L220))),AND('Lista de Preços'!$M220&lt;&gt;"",NOT(ISNUMBER('Lista de Preços'!$M220)))),"ERRO","OK"),"")</f>
        <v/>
      </c>
      <c r="E231" s="27" t="str">
        <f aca="false">IF(COUNTA('Lista de Preços'!$A220:$W220)&gt;0,IF(AND(ISNUMBER('Lista de Preços'!$L220),ISNUMBER('Lista de Preços'!$M220),'Lista de Preços'!$L220&gt;'Lista de Preços'!$M220),"ERRO","OK"),"")</f>
        <v/>
      </c>
      <c r="F231" s="27" t="str">
        <f aca="true">IF(COUNTA('Lista de Preços'!$A220:$W220)&gt;0,IF(AND('Lista de Preços'!$S220&lt;&gt;"",ISNUMBER('Lista de Preços'!$S220),'Lista de Preços'!$S220&lt;TODAY()),"ERRO","OK"),"")</f>
        <v/>
      </c>
      <c r="G231" s="27" t="str">
        <f aca="false">IF(COUNTA('Lista de Preços'!$A220:$W220)&gt;0,IF(AND('Lista de Preços'!$A220&lt;&gt;"",COUNTIF('Lista de Preços'!$A$4:$A$503,'Lista de Preços'!$A220)&gt;1),"ERRO","OK"),"")</f>
        <v/>
      </c>
      <c r="H231" s="27" t="str">
        <f aca="false">IF(COUNTA('Lista de Preços'!$A220:$W220)&gt;0,IF(AND('Lista de Preços'!$N220&lt;&gt;"",ISNUMBER('Lista de Preços'!$N220),OR('Lista de Preços'!$N220&lt;0,'Lista de Preços'!$N220&gt;0.5)),"ERRO","OK"),"")</f>
        <v/>
      </c>
      <c r="I231" s="27" t="str">
        <f aca="false">IF(COUNTA('Lista de Preços'!$A220:$W220)&gt;0,IF(OR($C231="ERRO",$D231="ERRO",$E231="ERRO",$F231="ERRO",$G231="ERRO",$H231="ERRO"),"FALHA","OK"),"")</f>
        <v/>
      </c>
    </row>
    <row r="232" customFormat="false" ht="15" hidden="false" customHeight="false" outlineLevel="0" collapsed="false">
      <c r="A232" s="26" t="n">
        <f aca="false">'Lista de Preços'!$A221</f>
        <v>0</v>
      </c>
      <c r="B232" s="26" t="n">
        <f aca="false">'Lista de Preços'!$B221</f>
        <v>0</v>
      </c>
      <c r="C232" s="27" t="str">
        <f aca="false">IF(COUNTA('Lista de Preços'!$A221:$W221)&gt;0,IF((COUNTBLANK('Lista de Preços'!$A221)+COUNTBLANK('Lista de Preços'!$B221)+COUNTBLANK('Lista de Preços'!$C221)+COUNTBLANK('Lista de Preços'!$D221)+COUNTBLANK('Lista de Preços'!$E221)+COUNTBLANK('Lista de Preços'!$F221)+COUNTBLANK('Lista de Preços'!$L221)+COUNTBLANK('Lista de Preços'!$M221)+COUNTBLANK('Lista de Preços'!$P221)+COUNTBLANK('Lista de Preços'!$U221)+COUNTBLANK('Lista de Preços'!$V221))&gt;0,"ERRO","OK"),"")</f>
        <v/>
      </c>
      <c r="D232" s="27" t="str">
        <f aca="false">IF(COUNTA('Lista de Preços'!$A221:$W221)&gt;0,IF(OR(AND('Lista de Preços'!$L221&lt;&gt;"",NOT(ISNUMBER('Lista de Preços'!$L221))),AND('Lista de Preços'!$M221&lt;&gt;"",NOT(ISNUMBER('Lista de Preços'!$M221)))),"ERRO","OK"),"")</f>
        <v/>
      </c>
      <c r="E232" s="27" t="str">
        <f aca="false">IF(COUNTA('Lista de Preços'!$A221:$W221)&gt;0,IF(AND(ISNUMBER('Lista de Preços'!$L221),ISNUMBER('Lista de Preços'!$M221),'Lista de Preços'!$L221&gt;'Lista de Preços'!$M221),"ERRO","OK"),"")</f>
        <v/>
      </c>
      <c r="F232" s="27" t="str">
        <f aca="true">IF(COUNTA('Lista de Preços'!$A221:$W221)&gt;0,IF(AND('Lista de Preços'!$S221&lt;&gt;"",ISNUMBER('Lista de Preços'!$S221),'Lista de Preços'!$S221&lt;TODAY()),"ERRO","OK"),"")</f>
        <v/>
      </c>
      <c r="G232" s="27" t="str">
        <f aca="false">IF(COUNTA('Lista de Preços'!$A221:$W221)&gt;0,IF(AND('Lista de Preços'!$A221&lt;&gt;"",COUNTIF('Lista de Preços'!$A$4:$A$503,'Lista de Preços'!$A221)&gt;1),"ERRO","OK"),"")</f>
        <v/>
      </c>
      <c r="H232" s="27" t="str">
        <f aca="false">IF(COUNTA('Lista de Preços'!$A221:$W221)&gt;0,IF(AND('Lista de Preços'!$N221&lt;&gt;"",ISNUMBER('Lista de Preços'!$N221),OR('Lista de Preços'!$N221&lt;0,'Lista de Preços'!$N221&gt;0.5)),"ERRO","OK"),"")</f>
        <v/>
      </c>
      <c r="I232" s="27" t="str">
        <f aca="false">IF(COUNTA('Lista de Preços'!$A221:$W221)&gt;0,IF(OR($C232="ERRO",$D232="ERRO",$E232="ERRO",$F232="ERRO",$G232="ERRO",$H232="ERRO"),"FALHA","OK"),"")</f>
        <v/>
      </c>
    </row>
    <row r="233" customFormat="false" ht="15" hidden="false" customHeight="false" outlineLevel="0" collapsed="false">
      <c r="A233" s="26" t="n">
        <f aca="false">'Lista de Preços'!$A222</f>
        <v>0</v>
      </c>
      <c r="B233" s="26" t="n">
        <f aca="false">'Lista de Preços'!$B222</f>
        <v>0</v>
      </c>
      <c r="C233" s="27" t="str">
        <f aca="false">IF(COUNTA('Lista de Preços'!$A222:$W222)&gt;0,IF((COUNTBLANK('Lista de Preços'!$A222)+COUNTBLANK('Lista de Preços'!$B222)+COUNTBLANK('Lista de Preços'!$C222)+COUNTBLANK('Lista de Preços'!$D222)+COUNTBLANK('Lista de Preços'!$E222)+COUNTBLANK('Lista de Preços'!$F222)+COUNTBLANK('Lista de Preços'!$L222)+COUNTBLANK('Lista de Preços'!$M222)+COUNTBLANK('Lista de Preços'!$P222)+COUNTBLANK('Lista de Preços'!$U222)+COUNTBLANK('Lista de Preços'!$V222))&gt;0,"ERRO","OK"),"")</f>
        <v/>
      </c>
      <c r="D233" s="27" t="str">
        <f aca="false">IF(COUNTA('Lista de Preços'!$A222:$W222)&gt;0,IF(OR(AND('Lista de Preços'!$L222&lt;&gt;"",NOT(ISNUMBER('Lista de Preços'!$L222))),AND('Lista de Preços'!$M222&lt;&gt;"",NOT(ISNUMBER('Lista de Preços'!$M222)))),"ERRO","OK"),"")</f>
        <v/>
      </c>
      <c r="E233" s="27" t="str">
        <f aca="false">IF(COUNTA('Lista de Preços'!$A222:$W222)&gt;0,IF(AND(ISNUMBER('Lista de Preços'!$L222),ISNUMBER('Lista de Preços'!$M222),'Lista de Preços'!$L222&gt;'Lista de Preços'!$M222),"ERRO","OK"),"")</f>
        <v/>
      </c>
      <c r="F233" s="27" t="str">
        <f aca="true">IF(COUNTA('Lista de Preços'!$A222:$W222)&gt;0,IF(AND('Lista de Preços'!$S222&lt;&gt;"",ISNUMBER('Lista de Preços'!$S222),'Lista de Preços'!$S222&lt;TODAY()),"ERRO","OK"),"")</f>
        <v/>
      </c>
      <c r="G233" s="27" t="str">
        <f aca="false">IF(COUNTA('Lista de Preços'!$A222:$W222)&gt;0,IF(AND('Lista de Preços'!$A222&lt;&gt;"",COUNTIF('Lista de Preços'!$A$4:$A$503,'Lista de Preços'!$A222)&gt;1),"ERRO","OK"),"")</f>
        <v/>
      </c>
      <c r="H233" s="27" t="str">
        <f aca="false">IF(COUNTA('Lista de Preços'!$A222:$W222)&gt;0,IF(AND('Lista de Preços'!$N222&lt;&gt;"",ISNUMBER('Lista de Preços'!$N222),OR('Lista de Preços'!$N222&lt;0,'Lista de Preços'!$N222&gt;0.5)),"ERRO","OK"),"")</f>
        <v/>
      </c>
      <c r="I233" s="27" t="str">
        <f aca="false">IF(COUNTA('Lista de Preços'!$A222:$W222)&gt;0,IF(OR($C233="ERRO",$D233="ERRO",$E233="ERRO",$F233="ERRO",$G233="ERRO",$H233="ERRO"),"FALHA","OK"),"")</f>
        <v/>
      </c>
    </row>
    <row r="234" customFormat="false" ht="15" hidden="false" customHeight="false" outlineLevel="0" collapsed="false">
      <c r="A234" s="26" t="n">
        <f aca="false">'Lista de Preços'!$A223</f>
        <v>0</v>
      </c>
      <c r="B234" s="26" t="n">
        <f aca="false">'Lista de Preços'!$B223</f>
        <v>0</v>
      </c>
      <c r="C234" s="27" t="str">
        <f aca="false">IF(COUNTA('Lista de Preços'!$A223:$W223)&gt;0,IF((COUNTBLANK('Lista de Preços'!$A223)+COUNTBLANK('Lista de Preços'!$B223)+COUNTBLANK('Lista de Preços'!$C223)+COUNTBLANK('Lista de Preços'!$D223)+COUNTBLANK('Lista de Preços'!$E223)+COUNTBLANK('Lista de Preços'!$F223)+COUNTBLANK('Lista de Preços'!$L223)+COUNTBLANK('Lista de Preços'!$M223)+COUNTBLANK('Lista de Preços'!$P223)+COUNTBLANK('Lista de Preços'!$U223)+COUNTBLANK('Lista de Preços'!$V223))&gt;0,"ERRO","OK"),"")</f>
        <v/>
      </c>
      <c r="D234" s="27" t="str">
        <f aca="false">IF(COUNTA('Lista de Preços'!$A223:$W223)&gt;0,IF(OR(AND('Lista de Preços'!$L223&lt;&gt;"",NOT(ISNUMBER('Lista de Preços'!$L223))),AND('Lista de Preços'!$M223&lt;&gt;"",NOT(ISNUMBER('Lista de Preços'!$M223)))),"ERRO","OK"),"")</f>
        <v/>
      </c>
      <c r="E234" s="27" t="str">
        <f aca="false">IF(COUNTA('Lista de Preços'!$A223:$W223)&gt;0,IF(AND(ISNUMBER('Lista de Preços'!$L223),ISNUMBER('Lista de Preços'!$M223),'Lista de Preços'!$L223&gt;'Lista de Preços'!$M223),"ERRO","OK"),"")</f>
        <v/>
      </c>
      <c r="F234" s="27" t="str">
        <f aca="true">IF(COUNTA('Lista de Preços'!$A223:$W223)&gt;0,IF(AND('Lista de Preços'!$S223&lt;&gt;"",ISNUMBER('Lista de Preços'!$S223),'Lista de Preços'!$S223&lt;TODAY()),"ERRO","OK"),"")</f>
        <v/>
      </c>
      <c r="G234" s="27" t="str">
        <f aca="false">IF(COUNTA('Lista de Preços'!$A223:$W223)&gt;0,IF(AND('Lista de Preços'!$A223&lt;&gt;"",COUNTIF('Lista de Preços'!$A$4:$A$503,'Lista de Preços'!$A223)&gt;1),"ERRO","OK"),"")</f>
        <v/>
      </c>
      <c r="H234" s="27" t="str">
        <f aca="false">IF(COUNTA('Lista de Preços'!$A223:$W223)&gt;0,IF(AND('Lista de Preços'!$N223&lt;&gt;"",ISNUMBER('Lista de Preços'!$N223),OR('Lista de Preços'!$N223&lt;0,'Lista de Preços'!$N223&gt;0.5)),"ERRO","OK"),"")</f>
        <v/>
      </c>
      <c r="I234" s="27" t="str">
        <f aca="false">IF(COUNTA('Lista de Preços'!$A223:$W223)&gt;0,IF(OR($C234="ERRO",$D234="ERRO",$E234="ERRO",$F234="ERRO",$G234="ERRO",$H234="ERRO"),"FALHA","OK"),"")</f>
        <v/>
      </c>
    </row>
    <row r="235" customFormat="false" ht="15" hidden="false" customHeight="false" outlineLevel="0" collapsed="false">
      <c r="A235" s="26" t="n">
        <f aca="false">'Lista de Preços'!$A224</f>
        <v>0</v>
      </c>
      <c r="B235" s="26" t="n">
        <f aca="false">'Lista de Preços'!$B224</f>
        <v>0</v>
      </c>
      <c r="C235" s="27" t="str">
        <f aca="false">IF(COUNTA('Lista de Preços'!$A224:$W224)&gt;0,IF((COUNTBLANK('Lista de Preços'!$A224)+COUNTBLANK('Lista de Preços'!$B224)+COUNTBLANK('Lista de Preços'!$C224)+COUNTBLANK('Lista de Preços'!$D224)+COUNTBLANK('Lista de Preços'!$E224)+COUNTBLANK('Lista de Preços'!$F224)+COUNTBLANK('Lista de Preços'!$L224)+COUNTBLANK('Lista de Preços'!$M224)+COUNTBLANK('Lista de Preços'!$P224)+COUNTBLANK('Lista de Preços'!$U224)+COUNTBLANK('Lista de Preços'!$V224))&gt;0,"ERRO","OK"),"")</f>
        <v/>
      </c>
      <c r="D235" s="27" t="str">
        <f aca="false">IF(COUNTA('Lista de Preços'!$A224:$W224)&gt;0,IF(OR(AND('Lista de Preços'!$L224&lt;&gt;"",NOT(ISNUMBER('Lista de Preços'!$L224))),AND('Lista de Preços'!$M224&lt;&gt;"",NOT(ISNUMBER('Lista de Preços'!$M224)))),"ERRO","OK"),"")</f>
        <v/>
      </c>
      <c r="E235" s="27" t="str">
        <f aca="false">IF(COUNTA('Lista de Preços'!$A224:$W224)&gt;0,IF(AND(ISNUMBER('Lista de Preços'!$L224),ISNUMBER('Lista de Preços'!$M224),'Lista de Preços'!$L224&gt;'Lista de Preços'!$M224),"ERRO","OK"),"")</f>
        <v/>
      </c>
      <c r="F235" s="27" t="str">
        <f aca="true">IF(COUNTA('Lista de Preços'!$A224:$W224)&gt;0,IF(AND('Lista de Preços'!$S224&lt;&gt;"",ISNUMBER('Lista de Preços'!$S224),'Lista de Preços'!$S224&lt;TODAY()),"ERRO","OK"),"")</f>
        <v/>
      </c>
      <c r="G235" s="27" t="str">
        <f aca="false">IF(COUNTA('Lista de Preços'!$A224:$W224)&gt;0,IF(AND('Lista de Preços'!$A224&lt;&gt;"",COUNTIF('Lista de Preços'!$A$4:$A$503,'Lista de Preços'!$A224)&gt;1),"ERRO","OK"),"")</f>
        <v/>
      </c>
      <c r="H235" s="27" t="str">
        <f aca="false">IF(COUNTA('Lista de Preços'!$A224:$W224)&gt;0,IF(AND('Lista de Preços'!$N224&lt;&gt;"",ISNUMBER('Lista de Preços'!$N224),OR('Lista de Preços'!$N224&lt;0,'Lista de Preços'!$N224&gt;0.5)),"ERRO","OK"),"")</f>
        <v/>
      </c>
      <c r="I235" s="27" t="str">
        <f aca="false">IF(COUNTA('Lista de Preços'!$A224:$W224)&gt;0,IF(OR($C235="ERRO",$D235="ERRO",$E235="ERRO",$F235="ERRO",$G235="ERRO",$H235="ERRO"),"FALHA","OK"),"")</f>
        <v/>
      </c>
    </row>
    <row r="236" customFormat="false" ht="15" hidden="false" customHeight="false" outlineLevel="0" collapsed="false">
      <c r="A236" s="26" t="n">
        <f aca="false">'Lista de Preços'!$A225</f>
        <v>0</v>
      </c>
      <c r="B236" s="26" t="n">
        <f aca="false">'Lista de Preços'!$B225</f>
        <v>0</v>
      </c>
      <c r="C236" s="27" t="str">
        <f aca="false">IF(COUNTA('Lista de Preços'!$A225:$W225)&gt;0,IF((COUNTBLANK('Lista de Preços'!$A225)+COUNTBLANK('Lista de Preços'!$B225)+COUNTBLANK('Lista de Preços'!$C225)+COUNTBLANK('Lista de Preços'!$D225)+COUNTBLANK('Lista de Preços'!$E225)+COUNTBLANK('Lista de Preços'!$F225)+COUNTBLANK('Lista de Preços'!$L225)+COUNTBLANK('Lista de Preços'!$M225)+COUNTBLANK('Lista de Preços'!$P225)+COUNTBLANK('Lista de Preços'!$U225)+COUNTBLANK('Lista de Preços'!$V225))&gt;0,"ERRO","OK"),"")</f>
        <v/>
      </c>
      <c r="D236" s="27" t="str">
        <f aca="false">IF(COUNTA('Lista de Preços'!$A225:$W225)&gt;0,IF(OR(AND('Lista de Preços'!$L225&lt;&gt;"",NOT(ISNUMBER('Lista de Preços'!$L225))),AND('Lista de Preços'!$M225&lt;&gt;"",NOT(ISNUMBER('Lista de Preços'!$M225)))),"ERRO","OK"),"")</f>
        <v/>
      </c>
      <c r="E236" s="27" t="str">
        <f aca="false">IF(COUNTA('Lista de Preços'!$A225:$W225)&gt;0,IF(AND(ISNUMBER('Lista de Preços'!$L225),ISNUMBER('Lista de Preços'!$M225),'Lista de Preços'!$L225&gt;'Lista de Preços'!$M225),"ERRO","OK"),"")</f>
        <v/>
      </c>
      <c r="F236" s="27" t="str">
        <f aca="true">IF(COUNTA('Lista de Preços'!$A225:$W225)&gt;0,IF(AND('Lista de Preços'!$S225&lt;&gt;"",ISNUMBER('Lista de Preços'!$S225),'Lista de Preços'!$S225&lt;TODAY()),"ERRO","OK"),"")</f>
        <v/>
      </c>
      <c r="G236" s="27" t="str">
        <f aca="false">IF(COUNTA('Lista de Preços'!$A225:$W225)&gt;0,IF(AND('Lista de Preços'!$A225&lt;&gt;"",COUNTIF('Lista de Preços'!$A$4:$A$503,'Lista de Preços'!$A225)&gt;1),"ERRO","OK"),"")</f>
        <v/>
      </c>
      <c r="H236" s="27" t="str">
        <f aca="false">IF(COUNTA('Lista de Preços'!$A225:$W225)&gt;0,IF(AND('Lista de Preços'!$N225&lt;&gt;"",ISNUMBER('Lista de Preços'!$N225),OR('Lista de Preços'!$N225&lt;0,'Lista de Preços'!$N225&gt;0.5)),"ERRO","OK"),"")</f>
        <v/>
      </c>
      <c r="I236" s="27" t="str">
        <f aca="false">IF(COUNTA('Lista de Preços'!$A225:$W225)&gt;0,IF(OR($C236="ERRO",$D236="ERRO",$E236="ERRO",$F236="ERRO",$G236="ERRO",$H236="ERRO"),"FALHA","OK"),"")</f>
        <v/>
      </c>
    </row>
    <row r="237" customFormat="false" ht="15" hidden="false" customHeight="false" outlineLevel="0" collapsed="false">
      <c r="A237" s="26" t="n">
        <f aca="false">'Lista de Preços'!$A226</f>
        <v>0</v>
      </c>
      <c r="B237" s="26" t="n">
        <f aca="false">'Lista de Preços'!$B226</f>
        <v>0</v>
      </c>
      <c r="C237" s="27" t="str">
        <f aca="false">IF(COUNTA('Lista de Preços'!$A226:$W226)&gt;0,IF((COUNTBLANK('Lista de Preços'!$A226)+COUNTBLANK('Lista de Preços'!$B226)+COUNTBLANK('Lista de Preços'!$C226)+COUNTBLANK('Lista de Preços'!$D226)+COUNTBLANK('Lista de Preços'!$E226)+COUNTBLANK('Lista de Preços'!$F226)+COUNTBLANK('Lista de Preços'!$L226)+COUNTBLANK('Lista de Preços'!$M226)+COUNTBLANK('Lista de Preços'!$P226)+COUNTBLANK('Lista de Preços'!$U226)+COUNTBLANK('Lista de Preços'!$V226))&gt;0,"ERRO","OK"),"")</f>
        <v/>
      </c>
      <c r="D237" s="27" t="str">
        <f aca="false">IF(COUNTA('Lista de Preços'!$A226:$W226)&gt;0,IF(OR(AND('Lista de Preços'!$L226&lt;&gt;"",NOT(ISNUMBER('Lista de Preços'!$L226))),AND('Lista de Preços'!$M226&lt;&gt;"",NOT(ISNUMBER('Lista de Preços'!$M226)))),"ERRO","OK"),"")</f>
        <v/>
      </c>
      <c r="E237" s="27" t="str">
        <f aca="false">IF(COUNTA('Lista de Preços'!$A226:$W226)&gt;0,IF(AND(ISNUMBER('Lista de Preços'!$L226),ISNUMBER('Lista de Preços'!$M226),'Lista de Preços'!$L226&gt;'Lista de Preços'!$M226),"ERRO","OK"),"")</f>
        <v/>
      </c>
      <c r="F237" s="27" t="str">
        <f aca="true">IF(COUNTA('Lista de Preços'!$A226:$W226)&gt;0,IF(AND('Lista de Preços'!$S226&lt;&gt;"",ISNUMBER('Lista de Preços'!$S226),'Lista de Preços'!$S226&lt;TODAY()),"ERRO","OK"),"")</f>
        <v/>
      </c>
      <c r="G237" s="27" t="str">
        <f aca="false">IF(COUNTA('Lista de Preços'!$A226:$W226)&gt;0,IF(AND('Lista de Preços'!$A226&lt;&gt;"",COUNTIF('Lista de Preços'!$A$4:$A$503,'Lista de Preços'!$A226)&gt;1),"ERRO","OK"),"")</f>
        <v/>
      </c>
      <c r="H237" s="27" t="str">
        <f aca="false">IF(COUNTA('Lista de Preços'!$A226:$W226)&gt;0,IF(AND('Lista de Preços'!$N226&lt;&gt;"",ISNUMBER('Lista de Preços'!$N226),OR('Lista de Preços'!$N226&lt;0,'Lista de Preços'!$N226&gt;0.5)),"ERRO","OK"),"")</f>
        <v/>
      </c>
      <c r="I237" s="27" t="str">
        <f aca="false">IF(COUNTA('Lista de Preços'!$A226:$W226)&gt;0,IF(OR($C237="ERRO",$D237="ERRO",$E237="ERRO",$F237="ERRO",$G237="ERRO",$H237="ERRO"),"FALHA","OK"),"")</f>
        <v/>
      </c>
    </row>
    <row r="238" customFormat="false" ht="15" hidden="false" customHeight="false" outlineLevel="0" collapsed="false">
      <c r="A238" s="26" t="n">
        <f aca="false">'Lista de Preços'!$A227</f>
        <v>0</v>
      </c>
      <c r="B238" s="26" t="n">
        <f aca="false">'Lista de Preços'!$B227</f>
        <v>0</v>
      </c>
      <c r="C238" s="27" t="str">
        <f aca="false">IF(COUNTA('Lista de Preços'!$A227:$W227)&gt;0,IF((COUNTBLANK('Lista de Preços'!$A227)+COUNTBLANK('Lista de Preços'!$B227)+COUNTBLANK('Lista de Preços'!$C227)+COUNTBLANK('Lista de Preços'!$D227)+COUNTBLANK('Lista de Preços'!$E227)+COUNTBLANK('Lista de Preços'!$F227)+COUNTBLANK('Lista de Preços'!$L227)+COUNTBLANK('Lista de Preços'!$M227)+COUNTBLANK('Lista de Preços'!$P227)+COUNTBLANK('Lista de Preços'!$U227)+COUNTBLANK('Lista de Preços'!$V227))&gt;0,"ERRO","OK"),"")</f>
        <v/>
      </c>
      <c r="D238" s="27" t="str">
        <f aca="false">IF(COUNTA('Lista de Preços'!$A227:$W227)&gt;0,IF(OR(AND('Lista de Preços'!$L227&lt;&gt;"",NOT(ISNUMBER('Lista de Preços'!$L227))),AND('Lista de Preços'!$M227&lt;&gt;"",NOT(ISNUMBER('Lista de Preços'!$M227)))),"ERRO","OK"),"")</f>
        <v/>
      </c>
      <c r="E238" s="27" t="str">
        <f aca="false">IF(COUNTA('Lista de Preços'!$A227:$W227)&gt;0,IF(AND(ISNUMBER('Lista de Preços'!$L227),ISNUMBER('Lista de Preços'!$M227),'Lista de Preços'!$L227&gt;'Lista de Preços'!$M227),"ERRO","OK"),"")</f>
        <v/>
      </c>
      <c r="F238" s="27" t="str">
        <f aca="true">IF(COUNTA('Lista de Preços'!$A227:$W227)&gt;0,IF(AND('Lista de Preços'!$S227&lt;&gt;"",ISNUMBER('Lista de Preços'!$S227),'Lista de Preços'!$S227&lt;TODAY()),"ERRO","OK"),"")</f>
        <v/>
      </c>
      <c r="G238" s="27" t="str">
        <f aca="false">IF(COUNTA('Lista de Preços'!$A227:$W227)&gt;0,IF(AND('Lista de Preços'!$A227&lt;&gt;"",COUNTIF('Lista de Preços'!$A$4:$A$503,'Lista de Preços'!$A227)&gt;1),"ERRO","OK"),"")</f>
        <v/>
      </c>
      <c r="H238" s="27" t="str">
        <f aca="false">IF(COUNTA('Lista de Preços'!$A227:$W227)&gt;0,IF(AND('Lista de Preços'!$N227&lt;&gt;"",ISNUMBER('Lista de Preços'!$N227),OR('Lista de Preços'!$N227&lt;0,'Lista de Preços'!$N227&gt;0.5)),"ERRO","OK"),"")</f>
        <v/>
      </c>
      <c r="I238" s="27" t="str">
        <f aca="false">IF(COUNTA('Lista de Preços'!$A227:$W227)&gt;0,IF(OR($C238="ERRO",$D238="ERRO",$E238="ERRO",$F238="ERRO",$G238="ERRO",$H238="ERRO"),"FALHA","OK"),"")</f>
        <v/>
      </c>
    </row>
    <row r="239" customFormat="false" ht="15" hidden="false" customHeight="false" outlineLevel="0" collapsed="false">
      <c r="A239" s="26" t="n">
        <f aca="false">'Lista de Preços'!$A228</f>
        <v>0</v>
      </c>
      <c r="B239" s="26" t="n">
        <f aca="false">'Lista de Preços'!$B228</f>
        <v>0</v>
      </c>
      <c r="C239" s="27" t="str">
        <f aca="false">IF(COUNTA('Lista de Preços'!$A228:$W228)&gt;0,IF((COUNTBLANK('Lista de Preços'!$A228)+COUNTBLANK('Lista de Preços'!$B228)+COUNTBLANK('Lista de Preços'!$C228)+COUNTBLANK('Lista de Preços'!$D228)+COUNTBLANK('Lista de Preços'!$E228)+COUNTBLANK('Lista de Preços'!$F228)+COUNTBLANK('Lista de Preços'!$L228)+COUNTBLANK('Lista de Preços'!$M228)+COUNTBLANK('Lista de Preços'!$P228)+COUNTBLANK('Lista de Preços'!$U228)+COUNTBLANK('Lista de Preços'!$V228))&gt;0,"ERRO","OK"),"")</f>
        <v/>
      </c>
      <c r="D239" s="27" t="str">
        <f aca="false">IF(COUNTA('Lista de Preços'!$A228:$W228)&gt;0,IF(OR(AND('Lista de Preços'!$L228&lt;&gt;"",NOT(ISNUMBER('Lista de Preços'!$L228))),AND('Lista de Preços'!$M228&lt;&gt;"",NOT(ISNUMBER('Lista de Preços'!$M228)))),"ERRO","OK"),"")</f>
        <v/>
      </c>
      <c r="E239" s="27" t="str">
        <f aca="false">IF(COUNTA('Lista de Preços'!$A228:$W228)&gt;0,IF(AND(ISNUMBER('Lista de Preços'!$L228),ISNUMBER('Lista de Preços'!$M228),'Lista de Preços'!$L228&gt;'Lista de Preços'!$M228),"ERRO","OK"),"")</f>
        <v/>
      </c>
      <c r="F239" s="27" t="str">
        <f aca="true">IF(COUNTA('Lista de Preços'!$A228:$W228)&gt;0,IF(AND('Lista de Preços'!$S228&lt;&gt;"",ISNUMBER('Lista de Preços'!$S228),'Lista de Preços'!$S228&lt;TODAY()),"ERRO","OK"),"")</f>
        <v/>
      </c>
      <c r="G239" s="27" t="str">
        <f aca="false">IF(COUNTA('Lista de Preços'!$A228:$W228)&gt;0,IF(AND('Lista de Preços'!$A228&lt;&gt;"",COUNTIF('Lista de Preços'!$A$4:$A$503,'Lista de Preços'!$A228)&gt;1),"ERRO","OK"),"")</f>
        <v/>
      </c>
      <c r="H239" s="27" t="str">
        <f aca="false">IF(COUNTA('Lista de Preços'!$A228:$W228)&gt;0,IF(AND('Lista de Preços'!$N228&lt;&gt;"",ISNUMBER('Lista de Preços'!$N228),OR('Lista de Preços'!$N228&lt;0,'Lista de Preços'!$N228&gt;0.5)),"ERRO","OK"),"")</f>
        <v/>
      </c>
      <c r="I239" s="27" t="str">
        <f aca="false">IF(COUNTA('Lista de Preços'!$A228:$W228)&gt;0,IF(OR($C239="ERRO",$D239="ERRO",$E239="ERRO",$F239="ERRO",$G239="ERRO",$H239="ERRO"),"FALHA","OK"),"")</f>
        <v/>
      </c>
    </row>
    <row r="240" customFormat="false" ht="15" hidden="false" customHeight="false" outlineLevel="0" collapsed="false">
      <c r="A240" s="26" t="n">
        <f aca="false">'Lista de Preços'!$A229</f>
        <v>0</v>
      </c>
      <c r="B240" s="26" t="n">
        <f aca="false">'Lista de Preços'!$B229</f>
        <v>0</v>
      </c>
      <c r="C240" s="27" t="str">
        <f aca="false">IF(COUNTA('Lista de Preços'!$A229:$W229)&gt;0,IF((COUNTBLANK('Lista de Preços'!$A229)+COUNTBLANK('Lista de Preços'!$B229)+COUNTBLANK('Lista de Preços'!$C229)+COUNTBLANK('Lista de Preços'!$D229)+COUNTBLANK('Lista de Preços'!$E229)+COUNTBLANK('Lista de Preços'!$F229)+COUNTBLANK('Lista de Preços'!$L229)+COUNTBLANK('Lista de Preços'!$M229)+COUNTBLANK('Lista de Preços'!$P229)+COUNTBLANK('Lista de Preços'!$U229)+COUNTBLANK('Lista de Preços'!$V229))&gt;0,"ERRO","OK"),"")</f>
        <v/>
      </c>
      <c r="D240" s="27" t="str">
        <f aca="false">IF(COUNTA('Lista de Preços'!$A229:$W229)&gt;0,IF(OR(AND('Lista de Preços'!$L229&lt;&gt;"",NOT(ISNUMBER('Lista de Preços'!$L229))),AND('Lista de Preços'!$M229&lt;&gt;"",NOT(ISNUMBER('Lista de Preços'!$M229)))),"ERRO","OK"),"")</f>
        <v/>
      </c>
      <c r="E240" s="27" t="str">
        <f aca="false">IF(COUNTA('Lista de Preços'!$A229:$W229)&gt;0,IF(AND(ISNUMBER('Lista de Preços'!$L229),ISNUMBER('Lista de Preços'!$M229),'Lista de Preços'!$L229&gt;'Lista de Preços'!$M229),"ERRO","OK"),"")</f>
        <v/>
      </c>
      <c r="F240" s="27" t="str">
        <f aca="true">IF(COUNTA('Lista de Preços'!$A229:$W229)&gt;0,IF(AND('Lista de Preços'!$S229&lt;&gt;"",ISNUMBER('Lista de Preços'!$S229),'Lista de Preços'!$S229&lt;TODAY()),"ERRO","OK"),"")</f>
        <v/>
      </c>
      <c r="G240" s="27" t="str">
        <f aca="false">IF(COUNTA('Lista de Preços'!$A229:$W229)&gt;0,IF(AND('Lista de Preços'!$A229&lt;&gt;"",COUNTIF('Lista de Preços'!$A$4:$A$503,'Lista de Preços'!$A229)&gt;1),"ERRO","OK"),"")</f>
        <v/>
      </c>
      <c r="H240" s="27" t="str">
        <f aca="false">IF(COUNTA('Lista de Preços'!$A229:$W229)&gt;0,IF(AND('Lista de Preços'!$N229&lt;&gt;"",ISNUMBER('Lista de Preços'!$N229),OR('Lista de Preços'!$N229&lt;0,'Lista de Preços'!$N229&gt;0.5)),"ERRO","OK"),"")</f>
        <v/>
      </c>
      <c r="I240" s="27" t="str">
        <f aca="false">IF(COUNTA('Lista de Preços'!$A229:$W229)&gt;0,IF(OR($C240="ERRO",$D240="ERRO",$E240="ERRO",$F240="ERRO",$G240="ERRO",$H240="ERRO"),"FALHA","OK"),"")</f>
        <v/>
      </c>
    </row>
    <row r="241" customFormat="false" ht="15" hidden="false" customHeight="false" outlineLevel="0" collapsed="false">
      <c r="A241" s="26" t="n">
        <f aca="false">'Lista de Preços'!$A230</f>
        <v>0</v>
      </c>
      <c r="B241" s="26" t="n">
        <f aca="false">'Lista de Preços'!$B230</f>
        <v>0</v>
      </c>
      <c r="C241" s="27" t="str">
        <f aca="false">IF(COUNTA('Lista de Preços'!$A230:$W230)&gt;0,IF((COUNTBLANK('Lista de Preços'!$A230)+COUNTBLANK('Lista de Preços'!$B230)+COUNTBLANK('Lista de Preços'!$C230)+COUNTBLANK('Lista de Preços'!$D230)+COUNTBLANK('Lista de Preços'!$E230)+COUNTBLANK('Lista de Preços'!$F230)+COUNTBLANK('Lista de Preços'!$L230)+COUNTBLANK('Lista de Preços'!$M230)+COUNTBLANK('Lista de Preços'!$P230)+COUNTBLANK('Lista de Preços'!$U230)+COUNTBLANK('Lista de Preços'!$V230))&gt;0,"ERRO","OK"),"")</f>
        <v/>
      </c>
      <c r="D241" s="27" t="str">
        <f aca="false">IF(COUNTA('Lista de Preços'!$A230:$W230)&gt;0,IF(OR(AND('Lista de Preços'!$L230&lt;&gt;"",NOT(ISNUMBER('Lista de Preços'!$L230))),AND('Lista de Preços'!$M230&lt;&gt;"",NOT(ISNUMBER('Lista de Preços'!$M230)))),"ERRO","OK"),"")</f>
        <v/>
      </c>
      <c r="E241" s="27" t="str">
        <f aca="false">IF(COUNTA('Lista de Preços'!$A230:$W230)&gt;0,IF(AND(ISNUMBER('Lista de Preços'!$L230),ISNUMBER('Lista de Preços'!$M230),'Lista de Preços'!$L230&gt;'Lista de Preços'!$M230),"ERRO","OK"),"")</f>
        <v/>
      </c>
      <c r="F241" s="27" t="str">
        <f aca="true">IF(COUNTA('Lista de Preços'!$A230:$W230)&gt;0,IF(AND('Lista de Preços'!$S230&lt;&gt;"",ISNUMBER('Lista de Preços'!$S230),'Lista de Preços'!$S230&lt;TODAY()),"ERRO","OK"),"")</f>
        <v/>
      </c>
      <c r="G241" s="27" t="str">
        <f aca="false">IF(COUNTA('Lista de Preços'!$A230:$W230)&gt;0,IF(AND('Lista de Preços'!$A230&lt;&gt;"",COUNTIF('Lista de Preços'!$A$4:$A$503,'Lista de Preços'!$A230)&gt;1),"ERRO","OK"),"")</f>
        <v/>
      </c>
      <c r="H241" s="27" t="str">
        <f aca="false">IF(COUNTA('Lista de Preços'!$A230:$W230)&gt;0,IF(AND('Lista de Preços'!$N230&lt;&gt;"",ISNUMBER('Lista de Preços'!$N230),OR('Lista de Preços'!$N230&lt;0,'Lista de Preços'!$N230&gt;0.5)),"ERRO","OK"),"")</f>
        <v/>
      </c>
      <c r="I241" s="27" t="str">
        <f aca="false">IF(COUNTA('Lista de Preços'!$A230:$W230)&gt;0,IF(OR($C241="ERRO",$D241="ERRO",$E241="ERRO",$F241="ERRO",$G241="ERRO",$H241="ERRO"),"FALHA","OK"),"")</f>
        <v/>
      </c>
    </row>
    <row r="242" customFormat="false" ht="15" hidden="false" customHeight="false" outlineLevel="0" collapsed="false">
      <c r="A242" s="26" t="n">
        <f aca="false">'Lista de Preços'!$A231</f>
        <v>0</v>
      </c>
      <c r="B242" s="26" t="n">
        <f aca="false">'Lista de Preços'!$B231</f>
        <v>0</v>
      </c>
      <c r="C242" s="27" t="str">
        <f aca="false">IF(COUNTA('Lista de Preços'!$A231:$W231)&gt;0,IF((COUNTBLANK('Lista de Preços'!$A231)+COUNTBLANK('Lista de Preços'!$B231)+COUNTBLANK('Lista de Preços'!$C231)+COUNTBLANK('Lista de Preços'!$D231)+COUNTBLANK('Lista de Preços'!$E231)+COUNTBLANK('Lista de Preços'!$F231)+COUNTBLANK('Lista de Preços'!$L231)+COUNTBLANK('Lista de Preços'!$M231)+COUNTBLANK('Lista de Preços'!$P231)+COUNTBLANK('Lista de Preços'!$U231)+COUNTBLANK('Lista de Preços'!$V231))&gt;0,"ERRO","OK"),"")</f>
        <v/>
      </c>
      <c r="D242" s="27" t="str">
        <f aca="false">IF(COUNTA('Lista de Preços'!$A231:$W231)&gt;0,IF(OR(AND('Lista de Preços'!$L231&lt;&gt;"",NOT(ISNUMBER('Lista de Preços'!$L231))),AND('Lista de Preços'!$M231&lt;&gt;"",NOT(ISNUMBER('Lista de Preços'!$M231)))),"ERRO","OK"),"")</f>
        <v/>
      </c>
      <c r="E242" s="27" t="str">
        <f aca="false">IF(COUNTA('Lista de Preços'!$A231:$W231)&gt;0,IF(AND(ISNUMBER('Lista de Preços'!$L231),ISNUMBER('Lista de Preços'!$M231),'Lista de Preços'!$L231&gt;'Lista de Preços'!$M231),"ERRO","OK"),"")</f>
        <v/>
      </c>
      <c r="F242" s="27" t="str">
        <f aca="true">IF(COUNTA('Lista de Preços'!$A231:$W231)&gt;0,IF(AND('Lista de Preços'!$S231&lt;&gt;"",ISNUMBER('Lista de Preços'!$S231),'Lista de Preços'!$S231&lt;TODAY()),"ERRO","OK"),"")</f>
        <v/>
      </c>
      <c r="G242" s="27" t="str">
        <f aca="false">IF(COUNTA('Lista de Preços'!$A231:$W231)&gt;0,IF(AND('Lista de Preços'!$A231&lt;&gt;"",COUNTIF('Lista de Preços'!$A$4:$A$503,'Lista de Preços'!$A231)&gt;1),"ERRO","OK"),"")</f>
        <v/>
      </c>
      <c r="H242" s="27" t="str">
        <f aca="false">IF(COUNTA('Lista de Preços'!$A231:$W231)&gt;0,IF(AND('Lista de Preços'!$N231&lt;&gt;"",ISNUMBER('Lista de Preços'!$N231),OR('Lista de Preços'!$N231&lt;0,'Lista de Preços'!$N231&gt;0.5)),"ERRO","OK"),"")</f>
        <v/>
      </c>
      <c r="I242" s="27" t="str">
        <f aca="false">IF(COUNTA('Lista de Preços'!$A231:$W231)&gt;0,IF(OR($C242="ERRO",$D242="ERRO",$E242="ERRO",$F242="ERRO",$G242="ERRO",$H242="ERRO"),"FALHA","OK"),"")</f>
        <v/>
      </c>
    </row>
    <row r="243" customFormat="false" ht="15" hidden="false" customHeight="false" outlineLevel="0" collapsed="false">
      <c r="A243" s="26" t="n">
        <f aca="false">'Lista de Preços'!$A232</f>
        <v>0</v>
      </c>
      <c r="B243" s="26" t="n">
        <f aca="false">'Lista de Preços'!$B232</f>
        <v>0</v>
      </c>
      <c r="C243" s="27" t="str">
        <f aca="false">IF(COUNTA('Lista de Preços'!$A232:$W232)&gt;0,IF((COUNTBLANK('Lista de Preços'!$A232)+COUNTBLANK('Lista de Preços'!$B232)+COUNTBLANK('Lista de Preços'!$C232)+COUNTBLANK('Lista de Preços'!$D232)+COUNTBLANK('Lista de Preços'!$E232)+COUNTBLANK('Lista de Preços'!$F232)+COUNTBLANK('Lista de Preços'!$L232)+COUNTBLANK('Lista de Preços'!$M232)+COUNTBLANK('Lista de Preços'!$P232)+COUNTBLANK('Lista de Preços'!$U232)+COUNTBLANK('Lista de Preços'!$V232))&gt;0,"ERRO","OK"),"")</f>
        <v/>
      </c>
      <c r="D243" s="27" t="str">
        <f aca="false">IF(COUNTA('Lista de Preços'!$A232:$W232)&gt;0,IF(OR(AND('Lista de Preços'!$L232&lt;&gt;"",NOT(ISNUMBER('Lista de Preços'!$L232))),AND('Lista de Preços'!$M232&lt;&gt;"",NOT(ISNUMBER('Lista de Preços'!$M232)))),"ERRO","OK"),"")</f>
        <v/>
      </c>
      <c r="E243" s="27" t="str">
        <f aca="false">IF(COUNTA('Lista de Preços'!$A232:$W232)&gt;0,IF(AND(ISNUMBER('Lista de Preços'!$L232),ISNUMBER('Lista de Preços'!$M232),'Lista de Preços'!$L232&gt;'Lista de Preços'!$M232),"ERRO","OK"),"")</f>
        <v/>
      </c>
      <c r="F243" s="27" t="str">
        <f aca="true">IF(COUNTA('Lista de Preços'!$A232:$W232)&gt;0,IF(AND('Lista de Preços'!$S232&lt;&gt;"",ISNUMBER('Lista de Preços'!$S232),'Lista de Preços'!$S232&lt;TODAY()),"ERRO","OK"),"")</f>
        <v/>
      </c>
      <c r="G243" s="27" t="str">
        <f aca="false">IF(COUNTA('Lista de Preços'!$A232:$W232)&gt;0,IF(AND('Lista de Preços'!$A232&lt;&gt;"",COUNTIF('Lista de Preços'!$A$4:$A$503,'Lista de Preços'!$A232)&gt;1),"ERRO","OK"),"")</f>
        <v/>
      </c>
      <c r="H243" s="27" t="str">
        <f aca="false">IF(COUNTA('Lista de Preços'!$A232:$W232)&gt;0,IF(AND('Lista de Preços'!$N232&lt;&gt;"",ISNUMBER('Lista de Preços'!$N232),OR('Lista de Preços'!$N232&lt;0,'Lista de Preços'!$N232&gt;0.5)),"ERRO","OK"),"")</f>
        <v/>
      </c>
      <c r="I243" s="27" t="str">
        <f aca="false">IF(COUNTA('Lista de Preços'!$A232:$W232)&gt;0,IF(OR($C243="ERRO",$D243="ERRO",$E243="ERRO",$F243="ERRO",$G243="ERRO",$H243="ERRO"),"FALHA","OK"),"")</f>
        <v/>
      </c>
    </row>
    <row r="244" customFormat="false" ht="15" hidden="false" customHeight="false" outlineLevel="0" collapsed="false">
      <c r="A244" s="26" t="n">
        <f aca="false">'Lista de Preços'!$A233</f>
        <v>0</v>
      </c>
      <c r="B244" s="26" t="n">
        <f aca="false">'Lista de Preços'!$B233</f>
        <v>0</v>
      </c>
      <c r="C244" s="27" t="str">
        <f aca="false">IF(COUNTA('Lista de Preços'!$A233:$W233)&gt;0,IF((COUNTBLANK('Lista de Preços'!$A233)+COUNTBLANK('Lista de Preços'!$B233)+COUNTBLANK('Lista de Preços'!$C233)+COUNTBLANK('Lista de Preços'!$D233)+COUNTBLANK('Lista de Preços'!$E233)+COUNTBLANK('Lista de Preços'!$F233)+COUNTBLANK('Lista de Preços'!$L233)+COUNTBLANK('Lista de Preços'!$M233)+COUNTBLANK('Lista de Preços'!$P233)+COUNTBLANK('Lista de Preços'!$U233)+COUNTBLANK('Lista de Preços'!$V233))&gt;0,"ERRO","OK"),"")</f>
        <v/>
      </c>
      <c r="D244" s="27" t="str">
        <f aca="false">IF(COUNTA('Lista de Preços'!$A233:$W233)&gt;0,IF(OR(AND('Lista de Preços'!$L233&lt;&gt;"",NOT(ISNUMBER('Lista de Preços'!$L233))),AND('Lista de Preços'!$M233&lt;&gt;"",NOT(ISNUMBER('Lista de Preços'!$M233)))),"ERRO","OK"),"")</f>
        <v/>
      </c>
      <c r="E244" s="27" t="str">
        <f aca="false">IF(COUNTA('Lista de Preços'!$A233:$W233)&gt;0,IF(AND(ISNUMBER('Lista de Preços'!$L233),ISNUMBER('Lista de Preços'!$M233),'Lista de Preços'!$L233&gt;'Lista de Preços'!$M233),"ERRO","OK"),"")</f>
        <v/>
      </c>
      <c r="F244" s="27" t="str">
        <f aca="true">IF(COUNTA('Lista de Preços'!$A233:$W233)&gt;0,IF(AND('Lista de Preços'!$S233&lt;&gt;"",ISNUMBER('Lista de Preços'!$S233),'Lista de Preços'!$S233&lt;TODAY()),"ERRO","OK"),"")</f>
        <v/>
      </c>
      <c r="G244" s="27" t="str">
        <f aca="false">IF(COUNTA('Lista de Preços'!$A233:$W233)&gt;0,IF(AND('Lista de Preços'!$A233&lt;&gt;"",COUNTIF('Lista de Preços'!$A$4:$A$503,'Lista de Preços'!$A233)&gt;1),"ERRO","OK"),"")</f>
        <v/>
      </c>
      <c r="H244" s="27" t="str">
        <f aca="false">IF(COUNTA('Lista de Preços'!$A233:$W233)&gt;0,IF(AND('Lista de Preços'!$N233&lt;&gt;"",ISNUMBER('Lista de Preços'!$N233),OR('Lista de Preços'!$N233&lt;0,'Lista de Preços'!$N233&gt;0.5)),"ERRO","OK"),"")</f>
        <v/>
      </c>
      <c r="I244" s="27" t="str">
        <f aca="false">IF(COUNTA('Lista de Preços'!$A233:$W233)&gt;0,IF(OR($C244="ERRO",$D244="ERRO",$E244="ERRO",$F244="ERRO",$G244="ERRO",$H244="ERRO"),"FALHA","OK"),"")</f>
        <v/>
      </c>
    </row>
    <row r="245" customFormat="false" ht="15" hidden="false" customHeight="false" outlineLevel="0" collapsed="false">
      <c r="A245" s="26" t="n">
        <f aca="false">'Lista de Preços'!$A234</f>
        <v>0</v>
      </c>
      <c r="B245" s="26" t="n">
        <f aca="false">'Lista de Preços'!$B234</f>
        <v>0</v>
      </c>
      <c r="C245" s="27" t="str">
        <f aca="false">IF(COUNTA('Lista de Preços'!$A234:$W234)&gt;0,IF((COUNTBLANK('Lista de Preços'!$A234)+COUNTBLANK('Lista de Preços'!$B234)+COUNTBLANK('Lista de Preços'!$C234)+COUNTBLANK('Lista de Preços'!$D234)+COUNTBLANK('Lista de Preços'!$E234)+COUNTBLANK('Lista de Preços'!$F234)+COUNTBLANK('Lista de Preços'!$L234)+COUNTBLANK('Lista de Preços'!$M234)+COUNTBLANK('Lista de Preços'!$P234)+COUNTBLANK('Lista de Preços'!$U234)+COUNTBLANK('Lista de Preços'!$V234))&gt;0,"ERRO","OK"),"")</f>
        <v/>
      </c>
      <c r="D245" s="27" t="str">
        <f aca="false">IF(COUNTA('Lista de Preços'!$A234:$W234)&gt;0,IF(OR(AND('Lista de Preços'!$L234&lt;&gt;"",NOT(ISNUMBER('Lista de Preços'!$L234))),AND('Lista de Preços'!$M234&lt;&gt;"",NOT(ISNUMBER('Lista de Preços'!$M234)))),"ERRO","OK"),"")</f>
        <v/>
      </c>
      <c r="E245" s="27" t="str">
        <f aca="false">IF(COUNTA('Lista de Preços'!$A234:$W234)&gt;0,IF(AND(ISNUMBER('Lista de Preços'!$L234),ISNUMBER('Lista de Preços'!$M234),'Lista de Preços'!$L234&gt;'Lista de Preços'!$M234),"ERRO","OK"),"")</f>
        <v/>
      </c>
      <c r="F245" s="27" t="str">
        <f aca="true">IF(COUNTA('Lista de Preços'!$A234:$W234)&gt;0,IF(AND('Lista de Preços'!$S234&lt;&gt;"",ISNUMBER('Lista de Preços'!$S234),'Lista de Preços'!$S234&lt;TODAY()),"ERRO","OK"),"")</f>
        <v/>
      </c>
      <c r="G245" s="27" t="str">
        <f aca="false">IF(COUNTA('Lista de Preços'!$A234:$W234)&gt;0,IF(AND('Lista de Preços'!$A234&lt;&gt;"",COUNTIF('Lista de Preços'!$A$4:$A$503,'Lista de Preços'!$A234)&gt;1),"ERRO","OK"),"")</f>
        <v/>
      </c>
      <c r="H245" s="27" t="str">
        <f aca="false">IF(COUNTA('Lista de Preços'!$A234:$W234)&gt;0,IF(AND('Lista de Preços'!$N234&lt;&gt;"",ISNUMBER('Lista de Preços'!$N234),OR('Lista de Preços'!$N234&lt;0,'Lista de Preços'!$N234&gt;0.5)),"ERRO","OK"),"")</f>
        <v/>
      </c>
      <c r="I245" s="27" t="str">
        <f aca="false">IF(COUNTA('Lista de Preços'!$A234:$W234)&gt;0,IF(OR($C245="ERRO",$D245="ERRO",$E245="ERRO",$F245="ERRO",$G245="ERRO",$H245="ERRO"),"FALHA","OK"),"")</f>
        <v/>
      </c>
    </row>
    <row r="246" customFormat="false" ht="15" hidden="false" customHeight="false" outlineLevel="0" collapsed="false">
      <c r="A246" s="26" t="n">
        <f aca="false">'Lista de Preços'!$A235</f>
        <v>0</v>
      </c>
      <c r="B246" s="26" t="n">
        <f aca="false">'Lista de Preços'!$B235</f>
        <v>0</v>
      </c>
      <c r="C246" s="27" t="str">
        <f aca="false">IF(COUNTA('Lista de Preços'!$A235:$W235)&gt;0,IF((COUNTBLANK('Lista de Preços'!$A235)+COUNTBLANK('Lista de Preços'!$B235)+COUNTBLANK('Lista de Preços'!$C235)+COUNTBLANK('Lista de Preços'!$D235)+COUNTBLANK('Lista de Preços'!$E235)+COUNTBLANK('Lista de Preços'!$F235)+COUNTBLANK('Lista de Preços'!$L235)+COUNTBLANK('Lista de Preços'!$M235)+COUNTBLANK('Lista de Preços'!$P235)+COUNTBLANK('Lista de Preços'!$U235)+COUNTBLANK('Lista de Preços'!$V235))&gt;0,"ERRO","OK"),"")</f>
        <v/>
      </c>
      <c r="D246" s="27" t="str">
        <f aca="false">IF(COUNTA('Lista de Preços'!$A235:$W235)&gt;0,IF(OR(AND('Lista de Preços'!$L235&lt;&gt;"",NOT(ISNUMBER('Lista de Preços'!$L235))),AND('Lista de Preços'!$M235&lt;&gt;"",NOT(ISNUMBER('Lista de Preços'!$M235)))),"ERRO","OK"),"")</f>
        <v/>
      </c>
      <c r="E246" s="27" t="str">
        <f aca="false">IF(COUNTA('Lista de Preços'!$A235:$W235)&gt;0,IF(AND(ISNUMBER('Lista de Preços'!$L235),ISNUMBER('Lista de Preços'!$M235),'Lista de Preços'!$L235&gt;'Lista de Preços'!$M235),"ERRO","OK"),"")</f>
        <v/>
      </c>
      <c r="F246" s="27" t="str">
        <f aca="true">IF(COUNTA('Lista de Preços'!$A235:$W235)&gt;0,IF(AND('Lista de Preços'!$S235&lt;&gt;"",ISNUMBER('Lista de Preços'!$S235),'Lista de Preços'!$S235&lt;TODAY()),"ERRO","OK"),"")</f>
        <v/>
      </c>
      <c r="G246" s="27" t="str">
        <f aca="false">IF(COUNTA('Lista de Preços'!$A235:$W235)&gt;0,IF(AND('Lista de Preços'!$A235&lt;&gt;"",COUNTIF('Lista de Preços'!$A$4:$A$503,'Lista de Preços'!$A235)&gt;1),"ERRO","OK"),"")</f>
        <v/>
      </c>
      <c r="H246" s="27" t="str">
        <f aca="false">IF(COUNTA('Lista de Preços'!$A235:$W235)&gt;0,IF(AND('Lista de Preços'!$N235&lt;&gt;"",ISNUMBER('Lista de Preços'!$N235),OR('Lista de Preços'!$N235&lt;0,'Lista de Preços'!$N235&gt;0.5)),"ERRO","OK"),"")</f>
        <v/>
      </c>
      <c r="I246" s="27" t="str">
        <f aca="false">IF(COUNTA('Lista de Preços'!$A235:$W235)&gt;0,IF(OR($C246="ERRO",$D246="ERRO",$E246="ERRO",$F246="ERRO",$G246="ERRO",$H246="ERRO"),"FALHA","OK"),"")</f>
        <v/>
      </c>
    </row>
    <row r="247" customFormat="false" ht="15" hidden="false" customHeight="false" outlineLevel="0" collapsed="false">
      <c r="A247" s="26" t="n">
        <f aca="false">'Lista de Preços'!$A236</f>
        <v>0</v>
      </c>
      <c r="B247" s="26" t="n">
        <f aca="false">'Lista de Preços'!$B236</f>
        <v>0</v>
      </c>
      <c r="C247" s="27" t="str">
        <f aca="false">IF(COUNTA('Lista de Preços'!$A236:$W236)&gt;0,IF((COUNTBLANK('Lista de Preços'!$A236)+COUNTBLANK('Lista de Preços'!$B236)+COUNTBLANK('Lista de Preços'!$C236)+COUNTBLANK('Lista de Preços'!$D236)+COUNTBLANK('Lista de Preços'!$E236)+COUNTBLANK('Lista de Preços'!$F236)+COUNTBLANK('Lista de Preços'!$L236)+COUNTBLANK('Lista de Preços'!$M236)+COUNTBLANK('Lista de Preços'!$P236)+COUNTBLANK('Lista de Preços'!$U236)+COUNTBLANK('Lista de Preços'!$V236))&gt;0,"ERRO","OK"),"")</f>
        <v/>
      </c>
      <c r="D247" s="27" t="str">
        <f aca="false">IF(COUNTA('Lista de Preços'!$A236:$W236)&gt;0,IF(OR(AND('Lista de Preços'!$L236&lt;&gt;"",NOT(ISNUMBER('Lista de Preços'!$L236))),AND('Lista de Preços'!$M236&lt;&gt;"",NOT(ISNUMBER('Lista de Preços'!$M236)))),"ERRO","OK"),"")</f>
        <v/>
      </c>
      <c r="E247" s="27" t="str">
        <f aca="false">IF(COUNTA('Lista de Preços'!$A236:$W236)&gt;0,IF(AND(ISNUMBER('Lista de Preços'!$L236),ISNUMBER('Lista de Preços'!$M236),'Lista de Preços'!$L236&gt;'Lista de Preços'!$M236),"ERRO","OK"),"")</f>
        <v/>
      </c>
      <c r="F247" s="27" t="str">
        <f aca="true">IF(COUNTA('Lista de Preços'!$A236:$W236)&gt;0,IF(AND('Lista de Preços'!$S236&lt;&gt;"",ISNUMBER('Lista de Preços'!$S236),'Lista de Preços'!$S236&lt;TODAY()),"ERRO","OK"),"")</f>
        <v/>
      </c>
      <c r="G247" s="27" t="str">
        <f aca="false">IF(COUNTA('Lista de Preços'!$A236:$W236)&gt;0,IF(AND('Lista de Preços'!$A236&lt;&gt;"",COUNTIF('Lista de Preços'!$A$4:$A$503,'Lista de Preços'!$A236)&gt;1),"ERRO","OK"),"")</f>
        <v/>
      </c>
      <c r="H247" s="27" t="str">
        <f aca="false">IF(COUNTA('Lista de Preços'!$A236:$W236)&gt;0,IF(AND('Lista de Preços'!$N236&lt;&gt;"",ISNUMBER('Lista de Preços'!$N236),OR('Lista de Preços'!$N236&lt;0,'Lista de Preços'!$N236&gt;0.5)),"ERRO","OK"),"")</f>
        <v/>
      </c>
      <c r="I247" s="27" t="str">
        <f aca="false">IF(COUNTA('Lista de Preços'!$A236:$W236)&gt;0,IF(OR($C247="ERRO",$D247="ERRO",$E247="ERRO",$F247="ERRO",$G247="ERRO",$H247="ERRO"),"FALHA","OK"),"")</f>
        <v/>
      </c>
    </row>
    <row r="248" customFormat="false" ht="15" hidden="false" customHeight="false" outlineLevel="0" collapsed="false">
      <c r="A248" s="26" t="n">
        <f aca="false">'Lista de Preços'!$A237</f>
        <v>0</v>
      </c>
      <c r="B248" s="26" t="n">
        <f aca="false">'Lista de Preços'!$B237</f>
        <v>0</v>
      </c>
      <c r="C248" s="27" t="str">
        <f aca="false">IF(COUNTA('Lista de Preços'!$A237:$W237)&gt;0,IF((COUNTBLANK('Lista de Preços'!$A237)+COUNTBLANK('Lista de Preços'!$B237)+COUNTBLANK('Lista de Preços'!$C237)+COUNTBLANK('Lista de Preços'!$D237)+COUNTBLANK('Lista de Preços'!$E237)+COUNTBLANK('Lista de Preços'!$F237)+COUNTBLANK('Lista de Preços'!$L237)+COUNTBLANK('Lista de Preços'!$M237)+COUNTBLANK('Lista de Preços'!$P237)+COUNTBLANK('Lista de Preços'!$U237)+COUNTBLANK('Lista de Preços'!$V237))&gt;0,"ERRO","OK"),"")</f>
        <v/>
      </c>
      <c r="D248" s="27" t="str">
        <f aca="false">IF(COUNTA('Lista de Preços'!$A237:$W237)&gt;0,IF(OR(AND('Lista de Preços'!$L237&lt;&gt;"",NOT(ISNUMBER('Lista de Preços'!$L237))),AND('Lista de Preços'!$M237&lt;&gt;"",NOT(ISNUMBER('Lista de Preços'!$M237)))),"ERRO","OK"),"")</f>
        <v/>
      </c>
      <c r="E248" s="27" t="str">
        <f aca="false">IF(COUNTA('Lista de Preços'!$A237:$W237)&gt;0,IF(AND(ISNUMBER('Lista de Preços'!$L237),ISNUMBER('Lista de Preços'!$M237),'Lista de Preços'!$L237&gt;'Lista de Preços'!$M237),"ERRO","OK"),"")</f>
        <v/>
      </c>
      <c r="F248" s="27" t="str">
        <f aca="true">IF(COUNTA('Lista de Preços'!$A237:$W237)&gt;0,IF(AND('Lista de Preços'!$S237&lt;&gt;"",ISNUMBER('Lista de Preços'!$S237),'Lista de Preços'!$S237&lt;TODAY()),"ERRO","OK"),"")</f>
        <v/>
      </c>
      <c r="G248" s="27" t="str">
        <f aca="false">IF(COUNTA('Lista de Preços'!$A237:$W237)&gt;0,IF(AND('Lista de Preços'!$A237&lt;&gt;"",COUNTIF('Lista de Preços'!$A$4:$A$503,'Lista de Preços'!$A237)&gt;1),"ERRO","OK"),"")</f>
        <v/>
      </c>
      <c r="H248" s="27" t="str">
        <f aca="false">IF(COUNTA('Lista de Preços'!$A237:$W237)&gt;0,IF(AND('Lista de Preços'!$N237&lt;&gt;"",ISNUMBER('Lista de Preços'!$N237),OR('Lista de Preços'!$N237&lt;0,'Lista de Preços'!$N237&gt;0.5)),"ERRO","OK"),"")</f>
        <v/>
      </c>
      <c r="I248" s="27" t="str">
        <f aca="false">IF(COUNTA('Lista de Preços'!$A237:$W237)&gt;0,IF(OR($C248="ERRO",$D248="ERRO",$E248="ERRO",$F248="ERRO",$G248="ERRO",$H248="ERRO"),"FALHA","OK"),"")</f>
        <v/>
      </c>
    </row>
    <row r="249" customFormat="false" ht="15" hidden="false" customHeight="false" outlineLevel="0" collapsed="false">
      <c r="A249" s="26" t="n">
        <f aca="false">'Lista de Preços'!$A238</f>
        <v>0</v>
      </c>
      <c r="B249" s="26" t="n">
        <f aca="false">'Lista de Preços'!$B238</f>
        <v>0</v>
      </c>
      <c r="C249" s="27" t="str">
        <f aca="false">IF(COUNTA('Lista de Preços'!$A238:$W238)&gt;0,IF((COUNTBLANK('Lista de Preços'!$A238)+COUNTBLANK('Lista de Preços'!$B238)+COUNTBLANK('Lista de Preços'!$C238)+COUNTBLANK('Lista de Preços'!$D238)+COUNTBLANK('Lista de Preços'!$E238)+COUNTBLANK('Lista de Preços'!$F238)+COUNTBLANK('Lista de Preços'!$L238)+COUNTBLANK('Lista de Preços'!$M238)+COUNTBLANK('Lista de Preços'!$P238)+COUNTBLANK('Lista de Preços'!$U238)+COUNTBLANK('Lista de Preços'!$V238))&gt;0,"ERRO","OK"),"")</f>
        <v/>
      </c>
      <c r="D249" s="27" t="str">
        <f aca="false">IF(COUNTA('Lista de Preços'!$A238:$W238)&gt;0,IF(OR(AND('Lista de Preços'!$L238&lt;&gt;"",NOT(ISNUMBER('Lista de Preços'!$L238))),AND('Lista de Preços'!$M238&lt;&gt;"",NOT(ISNUMBER('Lista de Preços'!$M238)))),"ERRO","OK"),"")</f>
        <v/>
      </c>
      <c r="E249" s="27" t="str">
        <f aca="false">IF(COUNTA('Lista de Preços'!$A238:$W238)&gt;0,IF(AND(ISNUMBER('Lista de Preços'!$L238),ISNUMBER('Lista de Preços'!$M238),'Lista de Preços'!$L238&gt;'Lista de Preços'!$M238),"ERRO","OK"),"")</f>
        <v/>
      </c>
      <c r="F249" s="27" t="str">
        <f aca="true">IF(COUNTA('Lista de Preços'!$A238:$W238)&gt;0,IF(AND('Lista de Preços'!$S238&lt;&gt;"",ISNUMBER('Lista de Preços'!$S238),'Lista de Preços'!$S238&lt;TODAY()),"ERRO","OK"),"")</f>
        <v/>
      </c>
      <c r="G249" s="27" t="str">
        <f aca="false">IF(COUNTA('Lista de Preços'!$A238:$W238)&gt;0,IF(AND('Lista de Preços'!$A238&lt;&gt;"",COUNTIF('Lista de Preços'!$A$4:$A$503,'Lista de Preços'!$A238)&gt;1),"ERRO","OK"),"")</f>
        <v/>
      </c>
      <c r="H249" s="27" t="str">
        <f aca="false">IF(COUNTA('Lista de Preços'!$A238:$W238)&gt;0,IF(AND('Lista de Preços'!$N238&lt;&gt;"",ISNUMBER('Lista de Preços'!$N238),OR('Lista de Preços'!$N238&lt;0,'Lista de Preços'!$N238&gt;0.5)),"ERRO","OK"),"")</f>
        <v/>
      </c>
      <c r="I249" s="27" t="str">
        <f aca="false">IF(COUNTA('Lista de Preços'!$A238:$W238)&gt;0,IF(OR($C249="ERRO",$D249="ERRO",$E249="ERRO",$F249="ERRO",$G249="ERRO",$H249="ERRO"),"FALHA","OK"),"")</f>
        <v/>
      </c>
    </row>
    <row r="250" customFormat="false" ht="15" hidden="false" customHeight="false" outlineLevel="0" collapsed="false">
      <c r="A250" s="26" t="n">
        <f aca="false">'Lista de Preços'!$A239</f>
        <v>0</v>
      </c>
      <c r="B250" s="26" t="n">
        <f aca="false">'Lista de Preços'!$B239</f>
        <v>0</v>
      </c>
      <c r="C250" s="27" t="str">
        <f aca="false">IF(COUNTA('Lista de Preços'!$A239:$W239)&gt;0,IF((COUNTBLANK('Lista de Preços'!$A239)+COUNTBLANK('Lista de Preços'!$B239)+COUNTBLANK('Lista de Preços'!$C239)+COUNTBLANK('Lista de Preços'!$D239)+COUNTBLANK('Lista de Preços'!$E239)+COUNTBLANK('Lista de Preços'!$F239)+COUNTBLANK('Lista de Preços'!$L239)+COUNTBLANK('Lista de Preços'!$M239)+COUNTBLANK('Lista de Preços'!$P239)+COUNTBLANK('Lista de Preços'!$U239)+COUNTBLANK('Lista de Preços'!$V239))&gt;0,"ERRO","OK"),"")</f>
        <v/>
      </c>
      <c r="D250" s="27" t="str">
        <f aca="false">IF(COUNTA('Lista de Preços'!$A239:$W239)&gt;0,IF(OR(AND('Lista de Preços'!$L239&lt;&gt;"",NOT(ISNUMBER('Lista de Preços'!$L239))),AND('Lista de Preços'!$M239&lt;&gt;"",NOT(ISNUMBER('Lista de Preços'!$M239)))),"ERRO","OK"),"")</f>
        <v/>
      </c>
      <c r="E250" s="27" t="str">
        <f aca="false">IF(COUNTA('Lista de Preços'!$A239:$W239)&gt;0,IF(AND(ISNUMBER('Lista de Preços'!$L239),ISNUMBER('Lista de Preços'!$M239),'Lista de Preços'!$L239&gt;'Lista de Preços'!$M239),"ERRO","OK"),"")</f>
        <v/>
      </c>
      <c r="F250" s="27" t="str">
        <f aca="true">IF(COUNTA('Lista de Preços'!$A239:$W239)&gt;0,IF(AND('Lista de Preços'!$S239&lt;&gt;"",ISNUMBER('Lista de Preços'!$S239),'Lista de Preços'!$S239&lt;TODAY()),"ERRO","OK"),"")</f>
        <v/>
      </c>
      <c r="G250" s="27" t="str">
        <f aca="false">IF(COUNTA('Lista de Preços'!$A239:$W239)&gt;0,IF(AND('Lista de Preços'!$A239&lt;&gt;"",COUNTIF('Lista de Preços'!$A$4:$A$503,'Lista de Preços'!$A239)&gt;1),"ERRO","OK"),"")</f>
        <v/>
      </c>
      <c r="H250" s="27" t="str">
        <f aca="false">IF(COUNTA('Lista de Preços'!$A239:$W239)&gt;0,IF(AND('Lista de Preços'!$N239&lt;&gt;"",ISNUMBER('Lista de Preços'!$N239),OR('Lista de Preços'!$N239&lt;0,'Lista de Preços'!$N239&gt;0.5)),"ERRO","OK"),"")</f>
        <v/>
      </c>
      <c r="I250" s="27" t="str">
        <f aca="false">IF(COUNTA('Lista de Preços'!$A239:$W239)&gt;0,IF(OR($C250="ERRO",$D250="ERRO",$E250="ERRO",$F250="ERRO",$G250="ERRO",$H250="ERRO"),"FALHA","OK"),"")</f>
        <v/>
      </c>
    </row>
    <row r="251" customFormat="false" ht="15" hidden="false" customHeight="false" outlineLevel="0" collapsed="false">
      <c r="A251" s="26" t="n">
        <f aca="false">'Lista de Preços'!$A240</f>
        <v>0</v>
      </c>
      <c r="B251" s="26" t="n">
        <f aca="false">'Lista de Preços'!$B240</f>
        <v>0</v>
      </c>
      <c r="C251" s="27" t="str">
        <f aca="false">IF(COUNTA('Lista de Preços'!$A240:$W240)&gt;0,IF((COUNTBLANK('Lista de Preços'!$A240)+COUNTBLANK('Lista de Preços'!$B240)+COUNTBLANK('Lista de Preços'!$C240)+COUNTBLANK('Lista de Preços'!$D240)+COUNTBLANK('Lista de Preços'!$E240)+COUNTBLANK('Lista de Preços'!$F240)+COUNTBLANK('Lista de Preços'!$L240)+COUNTBLANK('Lista de Preços'!$M240)+COUNTBLANK('Lista de Preços'!$P240)+COUNTBLANK('Lista de Preços'!$U240)+COUNTBLANK('Lista de Preços'!$V240))&gt;0,"ERRO","OK"),"")</f>
        <v/>
      </c>
      <c r="D251" s="27" t="str">
        <f aca="false">IF(COUNTA('Lista de Preços'!$A240:$W240)&gt;0,IF(OR(AND('Lista de Preços'!$L240&lt;&gt;"",NOT(ISNUMBER('Lista de Preços'!$L240))),AND('Lista de Preços'!$M240&lt;&gt;"",NOT(ISNUMBER('Lista de Preços'!$M240)))),"ERRO","OK"),"")</f>
        <v/>
      </c>
      <c r="E251" s="27" t="str">
        <f aca="false">IF(COUNTA('Lista de Preços'!$A240:$W240)&gt;0,IF(AND(ISNUMBER('Lista de Preços'!$L240),ISNUMBER('Lista de Preços'!$M240),'Lista de Preços'!$L240&gt;'Lista de Preços'!$M240),"ERRO","OK"),"")</f>
        <v/>
      </c>
      <c r="F251" s="27" t="str">
        <f aca="true">IF(COUNTA('Lista de Preços'!$A240:$W240)&gt;0,IF(AND('Lista de Preços'!$S240&lt;&gt;"",ISNUMBER('Lista de Preços'!$S240),'Lista de Preços'!$S240&lt;TODAY()),"ERRO","OK"),"")</f>
        <v/>
      </c>
      <c r="G251" s="27" t="str">
        <f aca="false">IF(COUNTA('Lista de Preços'!$A240:$W240)&gt;0,IF(AND('Lista de Preços'!$A240&lt;&gt;"",COUNTIF('Lista de Preços'!$A$4:$A$503,'Lista de Preços'!$A240)&gt;1),"ERRO","OK"),"")</f>
        <v/>
      </c>
      <c r="H251" s="27" t="str">
        <f aca="false">IF(COUNTA('Lista de Preços'!$A240:$W240)&gt;0,IF(AND('Lista de Preços'!$N240&lt;&gt;"",ISNUMBER('Lista de Preços'!$N240),OR('Lista de Preços'!$N240&lt;0,'Lista de Preços'!$N240&gt;0.5)),"ERRO","OK"),"")</f>
        <v/>
      </c>
      <c r="I251" s="27" t="str">
        <f aca="false">IF(COUNTA('Lista de Preços'!$A240:$W240)&gt;0,IF(OR($C251="ERRO",$D251="ERRO",$E251="ERRO",$F251="ERRO",$G251="ERRO",$H251="ERRO"),"FALHA","OK"),"")</f>
        <v/>
      </c>
    </row>
    <row r="252" customFormat="false" ht="15" hidden="false" customHeight="false" outlineLevel="0" collapsed="false">
      <c r="A252" s="26" t="n">
        <f aca="false">'Lista de Preços'!$A241</f>
        <v>0</v>
      </c>
      <c r="B252" s="26" t="n">
        <f aca="false">'Lista de Preços'!$B241</f>
        <v>0</v>
      </c>
      <c r="C252" s="27" t="str">
        <f aca="false">IF(COUNTA('Lista de Preços'!$A241:$W241)&gt;0,IF((COUNTBLANK('Lista de Preços'!$A241)+COUNTBLANK('Lista de Preços'!$B241)+COUNTBLANK('Lista de Preços'!$C241)+COUNTBLANK('Lista de Preços'!$D241)+COUNTBLANK('Lista de Preços'!$E241)+COUNTBLANK('Lista de Preços'!$F241)+COUNTBLANK('Lista de Preços'!$L241)+COUNTBLANK('Lista de Preços'!$M241)+COUNTBLANK('Lista de Preços'!$P241)+COUNTBLANK('Lista de Preços'!$U241)+COUNTBLANK('Lista de Preços'!$V241))&gt;0,"ERRO","OK"),"")</f>
        <v/>
      </c>
      <c r="D252" s="27" t="str">
        <f aca="false">IF(COUNTA('Lista de Preços'!$A241:$W241)&gt;0,IF(OR(AND('Lista de Preços'!$L241&lt;&gt;"",NOT(ISNUMBER('Lista de Preços'!$L241))),AND('Lista de Preços'!$M241&lt;&gt;"",NOT(ISNUMBER('Lista de Preços'!$M241)))),"ERRO","OK"),"")</f>
        <v/>
      </c>
      <c r="E252" s="27" t="str">
        <f aca="false">IF(COUNTA('Lista de Preços'!$A241:$W241)&gt;0,IF(AND(ISNUMBER('Lista de Preços'!$L241),ISNUMBER('Lista de Preços'!$M241),'Lista de Preços'!$L241&gt;'Lista de Preços'!$M241),"ERRO","OK"),"")</f>
        <v/>
      </c>
      <c r="F252" s="27" t="str">
        <f aca="true">IF(COUNTA('Lista de Preços'!$A241:$W241)&gt;0,IF(AND('Lista de Preços'!$S241&lt;&gt;"",ISNUMBER('Lista de Preços'!$S241),'Lista de Preços'!$S241&lt;TODAY()),"ERRO","OK"),"")</f>
        <v/>
      </c>
      <c r="G252" s="27" t="str">
        <f aca="false">IF(COUNTA('Lista de Preços'!$A241:$W241)&gt;0,IF(AND('Lista de Preços'!$A241&lt;&gt;"",COUNTIF('Lista de Preços'!$A$4:$A$503,'Lista de Preços'!$A241)&gt;1),"ERRO","OK"),"")</f>
        <v/>
      </c>
      <c r="H252" s="27" t="str">
        <f aca="false">IF(COUNTA('Lista de Preços'!$A241:$W241)&gt;0,IF(AND('Lista de Preços'!$N241&lt;&gt;"",ISNUMBER('Lista de Preços'!$N241),OR('Lista de Preços'!$N241&lt;0,'Lista de Preços'!$N241&gt;0.5)),"ERRO","OK"),"")</f>
        <v/>
      </c>
      <c r="I252" s="27" t="str">
        <f aca="false">IF(COUNTA('Lista de Preços'!$A241:$W241)&gt;0,IF(OR($C252="ERRO",$D252="ERRO",$E252="ERRO",$F252="ERRO",$G252="ERRO",$H252="ERRO"),"FALHA","OK"),"")</f>
        <v/>
      </c>
    </row>
    <row r="253" customFormat="false" ht="15" hidden="false" customHeight="false" outlineLevel="0" collapsed="false">
      <c r="A253" s="26" t="n">
        <f aca="false">'Lista de Preços'!$A242</f>
        <v>0</v>
      </c>
      <c r="B253" s="26" t="n">
        <f aca="false">'Lista de Preços'!$B242</f>
        <v>0</v>
      </c>
      <c r="C253" s="27" t="str">
        <f aca="false">IF(COUNTA('Lista de Preços'!$A242:$W242)&gt;0,IF((COUNTBLANK('Lista de Preços'!$A242)+COUNTBLANK('Lista de Preços'!$B242)+COUNTBLANK('Lista de Preços'!$C242)+COUNTBLANK('Lista de Preços'!$D242)+COUNTBLANK('Lista de Preços'!$E242)+COUNTBLANK('Lista de Preços'!$F242)+COUNTBLANK('Lista de Preços'!$L242)+COUNTBLANK('Lista de Preços'!$M242)+COUNTBLANK('Lista de Preços'!$P242)+COUNTBLANK('Lista de Preços'!$U242)+COUNTBLANK('Lista de Preços'!$V242))&gt;0,"ERRO","OK"),"")</f>
        <v/>
      </c>
      <c r="D253" s="27" t="str">
        <f aca="false">IF(COUNTA('Lista de Preços'!$A242:$W242)&gt;0,IF(OR(AND('Lista de Preços'!$L242&lt;&gt;"",NOT(ISNUMBER('Lista de Preços'!$L242))),AND('Lista de Preços'!$M242&lt;&gt;"",NOT(ISNUMBER('Lista de Preços'!$M242)))),"ERRO","OK"),"")</f>
        <v/>
      </c>
      <c r="E253" s="27" t="str">
        <f aca="false">IF(COUNTA('Lista de Preços'!$A242:$W242)&gt;0,IF(AND(ISNUMBER('Lista de Preços'!$L242),ISNUMBER('Lista de Preços'!$M242),'Lista de Preços'!$L242&gt;'Lista de Preços'!$M242),"ERRO","OK"),"")</f>
        <v/>
      </c>
      <c r="F253" s="27" t="str">
        <f aca="true">IF(COUNTA('Lista de Preços'!$A242:$W242)&gt;0,IF(AND('Lista de Preços'!$S242&lt;&gt;"",ISNUMBER('Lista de Preços'!$S242),'Lista de Preços'!$S242&lt;TODAY()),"ERRO","OK"),"")</f>
        <v/>
      </c>
      <c r="G253" s="27" t="str">
        <f aca="false">IF(COUNTA('Lista de Preços'!$A242:$W242)&gt;0,IF(AND('Lista de Preços'!$A242&lt;&gt;"",COUNTIF('Lista de Preços'!$A$4:$A$503,'Lista de Preços'!$A242)&gt;1),"ERRO","OK"),"")</f>
        <v/>
      </c>
      <c r="H253" s="27" t="str">
        <f aca="false">IF(COUNTA('Lista de Preços'!$A242:$W242)&gt;0,IF(AND('Lista de Preços'!$N242&lt;&gt;"",ISNUMBER('Lista de Preços'!$N242),OR('Lista de Preços'!$N242&lt;0,'Lista de Preços'!$N242&gt;0.5)),"ERRO","OK"),"")</f>
        <v/>
      </c>
      <c r="I253" s="27" t="str">
        <f aca="false">IF(COUNTA('Lista de Preços'!$A242:$W242)&gt;0,IF(OR($C253="ERRO",$D253="ERRO",$E253="ERRO",$F253="ERRO",$G253="ERRO",$H253="ERRO"),"FALHA","OK"),"")</f>
        <v/>
      </c>
    </row>
    <row r="254" customFormat="false" ht="15" hidden="false" customHeight="false" outlineLevel="0" collapsed="false">
      <c r="A254" s="26" t="n">
        <f aca="false">'Lista de Preços'!$A243</f>
        <v>0</v>
      </c>
      <c r="B254" s="26" t="n">
        <f aca="false">'Lista de Preços'!$B243</f>
        <v>0</v>
      </c>
      <c r="C254" s="27" t="str">
        <f aca="false">IF(COUNTA('Lista de Preços'!$A243:$W243)&gt;0,IF((COUNTBLANK('Lista de Preços'!$A243)+COUNTBLANK('Lista de Preços'!$B243)+COUNTBLANK('Lista de Preços'!$C243)+COUNTBLANK('Lista de Preços'!$D243)+COUNTBLANK('Lista de Preços'!$E243)+COUNTBLANK('Lista de Preços'!$F243)+COUNTBLANK('Lista de Preços'!$L243)+COUNTBLANK('Lista de Preços'!$M243)+COUNTBLANK('Lista de Preços'!$P243)+COUNTBLANK('Lista de Preços'!$U243)+COUNTBLANK('Lista de Preços'!$V243))&gt;0,"ERRO","OK"),"")</f>
        <v/>
      </c>
      <c r="D254" s="27" t="str">
        <f aca="false">IF(COUNTA('Lista de Preços'!$A243:$W243)&gt;0,IF(OR(AND('Lista de Preços'!$L243&lt;&gt;"",NOT(ISNUMBER('Lista de Preços'!$L243))),AND('Lista de Preços'!$M243&lt;&gt;"",NOT(ISNUMBER('Lista de Preços'!$M243)))),"ERRO","OK"),"")</f>
        <v/>
      </c>
      <c r="E254" s="27" t="str">
        <f aca="false">IF(COUNTA('Lista de Preços'!$A243:$W243)&gt;0,IF(AND(ISNUMBER('Lista de Preços'!$L243),ISNUMBER('Lista de Preços'!$M243),'Lista de Preços'!$L243&gt;'Lista de Preços'!$M243),"ERRO","OK"),"")</f>
        <v/>
      </c>
      <c r="F254" s="27" t="str">
        <f aca="true">IF(COUNTA('Lista de Preços'!$A243:$W243)&gt;0,IF(AND('Lista de Preços'!$S243&lt;&gt;"",ISNUMBER('Lista de Preços'!$S243),'Lista de Preços'!$S243&lt;TODAY()),"ERRO","OK"),"")</f>
        <v/>
      </c>
      <c r="G254" s="27" t="str">
        <f aca="false">IF(COUNTA('Lista de Preços'!$A243:$W243)&gt;0,IF(AND('Lista de Preços'!$A243&lt;&gt;"",COUNTIF('Lista de Preços'!$A$4:$A$503,'Lista de Preços'!$A243)&gt;1),"ERRO","OK"),"")</f>
        <v/>
      </c>
      <c r="H254" s="27" t="str">
        <f aca="false">IF(COUNTA('Lista de Preços'!$A243:$W243)&gt;0,IF(AND('Lista de Preços'!$N243&lt;&gt;"",ISNUMBER('Lista de Preços'!$N243),OR('Lista de Preços'!$N243&lt;0,'Lista de Preços'!$N243&gt;0.5)),"ERRO","OK"),"")</f>
        <v/>
      </c>
      <c r="I254" s="27" t="str">
        <f aca="false">IF(COUNTA('Lista de Preços'!$A243:$W243)&gt;0,IF(OR($C254="ERRO",$D254="ERRO",$E254="ERRO",$F254="ERRO",$G254="ERRO",$H254="ERRO"),"FALHA","OK"),"")</f>
        <v/>
      </c>
    </row>
    <row r="255" customFormat="false" ht="15" hidden="false" customHeight="false" outlineLevel="0" collapsed="false">
      <c r="A255" s="26" t="n">
        <f aca="false">'Lista de Preços'!$A244</f>
        <v>0</v>
      </c>
      <c r="B255" s="26" t="n">
        <f aca="false">'Lista de Preços'!$B244</f>
        <v>0</v>
      </c>
      <c r="C255" s="27" t="str">
        <f aca="false">IF(COUNTA('Lista de Preços'!$A244:$W244)&gt;0,IF((COUNTBLANK('Lista de Preços'!$A244)+COUNTBLANK('Lista de Preços'!$B244)+COUNTBLANK('Lista de Preços'!$C244)+COUNTBLANK('Lista de Preços'!$D244)+COUNTBLANK('Lista de Preços'!$E244)+COUNTBLANK('Lista de Preços'!$F244)+COUNTBLANK('Lista de Preços'!$L244)+COUNTBLANK('Lista de Preços'!$M244)+COUNTBLANK('Lista de Preços'!$P244)+COUNTBLANK('Lista de Preços'!$U244)+COUNTBLANK('Lista de Preços'!$V244))&gt;0,"ERRO","OK"),"")</f>
        <v/>
      </c>
      <c r="D255" s="27" t="str">
        <f aca="false">IF(COUNTA('Lista de Preços'!$A244:$W244)&gt;0,IF(OR(AND('Lista de Preços'!$L244&lt;&gt;"",NOT(ISNUMBER('Lista de Preços'!$L244))),AND('Lista de Preços'!$M244&lt;&gt;"",NOT(ISNUMBER('Lista de Preços'!$M244)))),"ERRO","OK"),"")</f>
        <v/>
      </c>
      <c r="E255" s="27" t="str">
        <f aca="false">IF(COUNTA('Lista de Preços'!$A244:$W244)&gt;0,IF(AND(ISNUMBER('Lista de Preços'!$L244),ISNUMBER('Lista de Preços'!$M244),'Lista de Preços'!$L244&gt;'Lista de Preços'!$M244),"ERRO","OK"),"")</f>
        <v/>
      </c>
      <c r="F255" s="27" t="str">
        <f aca="true">IF(COUNTA('Lista de Preços'!$A244:$W244)&gt;0,IF(AND('Lista de Preços'!$S244&lt;&gt;"",ISNUMBER('Lista de Preços'!$S244),'Lista de Preços'!$S244&lt;TODAY()),"ERRO","OK"),"")</f>
        <v/>
      </c>
      <c r="G255" s="27" t="str">
        <f aca="false">IF(COUNTA('Lista de Preços'!$A244:$W244)&gt;0,IF(AND('Lista de Preços'!$A244&lt;&gt;"",COUNTIF('Lista de Preços'!$A$4:$A$503,'Lista de Preços'!$A244)&gt;1),"ERRO","OK"),"")</f>
        <v/>
      </c>
      <c r="H255" s="27" t="str">
        <f aca="false">IF(COUNTA('Lista de Preços'!$A244:$W244)&gt;0,IF(AND('Lista de Preços'!$N244&lt;&gt;"",ISNUMBER('Lista de Preços'!$N244),OR('Lista de Preços'!$N244&lt;0,'Lista de Preços'!$N244&gt;0.5)),"ERRO","OK"),"")</f>
        <v/>
      </c>
      <c r="I255" s="27" t="str">
        <f aca="false">IF(COUNTA('Lista de Preços'!$A244:$W244)&gt;0,IF(OR($C255="ERRO",$D255="ERRO",$E255="ERRO",$F255="ERRO",$G255="ERRO",$H255="ERRO"),"FALHA","OK"),"")</f>
        <v/>
      </c>
    </row>
    <row r="256" customFormat="false" ht="15" hidden="false" customHeight="false" outlineLevel="0" collapsed="false">
      <c r="A256" s="26" t="n">
        <f aca="false">'Lista de Preços'!$A245</f>
        <v>0</v>
      </c>
      <c r="B256" s="26" t="n">
        <f aca="false">'Lista de Preços'!$B245</f>
        <v>0</v>
      </c>
      <c r="C256" s="27" t="str">
        <f aca="false">IF(COUNTA('Lista de Preços'!$A245:$W245)&gt;0,IF((COUNTBLANK('Lista de Preços'!$A245)+COUNTBLANK('Lista de Preços'!$B245)+COUNTBLANK('Lista de Preços'!$C245)+COUNTBLANK('Lista de Preços'!$D245)+COUNTBLANK('Lista de Preços'!$E245)+COUNTBLANK('Lista de Preços'!$F245)+COUNTBLANK('Lista de Preços'!$L245)+COUNTBLANK('Lista de Preços'!$M245)+COUNTBLANK('Lista de Preços'!$P245)+COUNTBLANK('Lista de Preços'!$U245)+COUNTBLANK('Lista de Preços'!$V245))&gt;0,"ERRO","OK"),"")</f>
        <v/>
      </c>
      <c r="D256" s="27" t="str">
        <f aca="false">IF(COUNTA('Lista de Preços'!$A245:$W245)&gt;0,IF(OR(AND('Lista de Preços'!$L245&lt;&gt;"",NOT(ISNUMBER('Lista de Preços'!$L245))),AND('Lista de Preços'!$M245&lt;&gt;"",NOT(ISNUMBER('Lista de Preços'!$M245)))),"ERRO","OK"),"")</f>
        <v/>
      </c>
      <c r="E256" s="27" t="str">
        <f aca="false">IF(COUNTA('Lista de Preços'!$A245:$W245)&gt;0,IF(AND(ISNUMBER('Lista de Preços'!$L245),ISNUMBER('Lista de Preços'!$M245),'Lista de Preços'!$L245&gt;'Lista de Preços'!$M245),"ERRO","OK"),"")</f>
        <v/>
      </c>
      <c r="F256" s="27" t="str">
        <f aca="true">IF(COUNTA('Lista de Preços'!$A245:$W245)&gt;0,IF(AND('Lista de Preços'!$S245&lt;&gt;"",ISNUMBER('Lista de Preços'!$S245),'Lista de Preços'!$S245&lt;TODAY()),"ERRO","OK"),"")</f>
        <v/>
      </c>
      <c r="G256" s="27" t="str">
        <f aca="false">IF(COUNTA('Lista de Preços'!$A245:$W245)&gt;0,IF(AND('Lista de Preços'!$A245&lt;&gt;"",COUNTIF('Lista de Preços'!$A$4:$A$503,'Lista de Preços'!$A245)&gt;1),"ERRO","OK"),"")</f>
        <v/>
      </c>
      <c r="H256" s="27" t="str">
        <f aca="false">IF(COUNTA('Lista de Preços'!$A245:$W245)&gt;0,IF(AND('Lista de Preços'!$N245&lt;&gt;"",ISNUMBER('Lista de Preços'!$N245),OR('Lista de Preços'!$N245&lt;0,'Lista de Preços'!$N245&gt;0.5)),"ERRO","OK"),"")</f>
        <v/>
      </c>
      <c r="I256" s="27" t="str">
        <f aca="false">IF(COUNTA('Lista de Preços'!$A245:$W245)&gt;0,IF(OR($C256="ERRO",$D256="ERRO",$E256="ERRO",$F256="ERRO",$G256="ERRO",$H256="ERRO"),"FALHA","OK"),"")</f>
        <v/>
      </c>
    </row>
    <row r="257" customFormat="false" ht="15" hidden="false" customHeight="false" outlineLevel="0" collapsed="false">
      <c r="A257" s="26" t="n">
        <f aca="false">'Lista de Preços'!$A246</f>
        <v>0</v>
      </c>
      <c r="B257" s="26" t="n">
        <f aca="false">'Lista de Preços'!$B246</f>
        <v>0</v>
      </c>
      <c r="C257" s="27" t="str">
        <f aca="false">IF(COUNTA('Lista de Preços'!$A246:$W246)&gt;0,IF((COUNTBLANK('Lista de Preços'!$A246)+COUNTBLANK('Lista de Preços'!$B246)+COUNTBLANK('Lista de Preços'!$C246)+COUNTBLANK('Lista de Preços'!$D246)+COUNTBLANK('Lista de Preços'!$E246)+COUNTBLANK('Lista de Preços'!$F246)+COUNTBLANK('Lista de Preços'!$L246)+COUNTBLANK('Lista de Preços'!$M246)+COUNTBLANK('Lista de Preços'!$P246)+COUNTBLANK('Lista de Preços'!$U246)+COUNTBLANK('Lista de Preços'!$V246))&gt;0,"ERRO","OK"),"")</f>
        <v/>
      </c>
      <c r="D257" s="27" t="str">
        <f aca="false">IF(COUNTA('Lista de Preços'!$A246:$W246)&gt;0,IF(OR(AND('Lista de Preços'!$L246&lt;&gt;"",NOT(ISNUMBER('Lista de Preços'!$L246))),AND('Lista de Preços'!$M246&lt;&gt;"",NOT(ISNUMBER('Lista de Preços'!$M246)))),"ERRO","OK"),"")</f>
        <v/>
      </c>
      <c r="E257" s="27" t="str">
        <f aca="false">IF(COUNTA('Lista de Preços'!$A246:$W246)&gt;0,IF(AND(ISNUMBER('Lista de Preços'!$L246),ISNUMBER('Lista de Preços'!$M246),'Lista de Preços'!$L246&gt;'Lista de Preços'!$M246),"ERRO","OK"),"")</f>
        <v/>
      </c>
      <c r="F257" s="27" t="str">
        <f aca="true">IF(COUNTA('Lista de Preços'!$A246:$W246)&gt;0,IF(AND('Lista de Preços'!$S246&lt;&gt;"",ISNUMBER('Lista de Preços'!$S246),'Lista de Preços'!$S246&lt;TODAY()),"ERRO","OK"),"")</f>
        <v/>
      </c>
      <c r="G257" s="27" t="str">
        <f aca="false">IF(COUNTA('Lista de Preços'!$A246:$W246)&gt;0,IF(AND('Lista de Preços'!$A246&lt;&gt;"",COUNTIF('Lista de Preços'!$A$4:$A$503,'Lista de Preços'!$A246)&gt;1),"ERRO","OK"),"")</f>
        <v/>
      </c>
      <c r="H257" s="27" t="str">
        <f aca="false">IF(COUNTA('Lista de Preços'!$A246:$W246)&gt;0,IF(AND('Lista de Preços'!$N246&lt;&gt;"",ISNUMBER('Lista de Preços'!$N246),OR('Lista de Preços'!$N246&lt;0,'Lista de Preços'!$N246&gt;0.5)),"ERRO","OK"),"")</f>
        <v/>
      </c>
      <c r="I257" s="27" t="str">
        <f aca="false">IF(COUNTA('Lista de Preços'!$A246:$W246)&gt;0,IF(OR($C257="ERRO",$D257="ERRO",$E257="ERRO",$F257="ERRO",$G257="ERRO",$H257="ERRO"),"FALHA","OK"),"")</f>
        <v/>
      </c>
    </row>
    <row r="258" customFormat="false" ht="15" hidden="false" customHeight="false" outlineLevel="0" collapsed="false">
      <c r="A258" s="26" t="n">
        <f aca="false">'Lista de Preços'!$A247</f>
        <v>0</v>
      </c>
      <c r="B258" s="26" t="n">
        <f aca="false">'Lista de Preços'!$B247</f>
        <v>0</v>
      </c>
      <c r="C258" s="27" t="str">
        <f aca="false">IF(COUNTA('Lista de Preços'!$A247:$W247)&gt;0,IF((COUNTBLANK('Lista de Preços'!$A247)+COUNTBLANK('Lista de Preços'!$B247)+COUNTBLANK('Lista de Preços'!$C247)+COUNTBLANK('Lista de Preços'!$D247)+COUNTBLANK('Lista de Preços'!$E247)+COUNTBLANK('Lista de Preços'!$F247)+COUNTBLANK('Lista de Preços'!$L247)+COUNTBLANK('Lista de Preços'!$M247)+COUNTBLANK('Lista de Preços'!$P247)+COUNTBLANK('Lista de Preços'!$U247)+COUNTBLANK('Lista de Preços'!$V247))&gt;0,"ERRO","OK"),"")</f>
        <v/>
      </c>
      <c r="D258" s="27" t="str">
        <f aca="false">IF(COUNTA('Lista de Preços'!$A247:$W247)&gt;0,IF(OR(AND('Lista de Preços'!$L247&lt;&gt;"",NOT(ISNUMBER('Lista de Preços'!$L247))),AND('Lista de Preços'!$M247&lt;&gt;"",NOT(ISNUMBER('Lista de Preços'!$M247)))),"ERRO","OK"),"")</f>
        <v/>
      </c>
      <c r="E258" s="27" t="str">
        <f aca="false">IF(COUNTA('Lista de Preços'!$A247:$W247)&gt;0,IF(AND(ISNUMBER('Lista de Preços'!$L247),ISNUMBER('Lista de Preços'!$M247),'Lista de Preços'!$L247&gt;'Lista de Preços'!$M247),"ERRO","OK"),"")</f>
        <v/>
      </c>
      <c r="F258" s="27" t="str">
        <f aca="true">IF(COUNTA('Lista de Preços'!$A247:$W247)&gt;0,IF(AND('Lista de Preços'!$S247&lt;&gt;"",ISNUMBER('Lista de Preços'!$S247),'Lista de Preços'!$S247&lt;TODAY()),"ERRO","OK"),"")</f>
        <v/>
      </c>
      <c r="G258" s="27" t="str">
        <f aca="false">IF(COUNTA('Lista de Preços'!$A247:$W247)&gt;0,IF(AND('Lista de Preços'!$A247&lt;&gt;"",COUNTIF('Lista de Preços'!$A$4:$A$503,'Lista de Preços'!$A247)&gt;1),"ERRO","OK"),"")</f>
        <v/>
      </c>
      <c r="H258" s="27" t="str">
        <f aca="false">IF(COUNTA('Lista de Preços'!$A247:$W247)&gt;0,IF(AND('Lista de Preços'!$N247&lt;&gt;"",ISNUMBER('Lista de Preços'!$N247),OR('Lista de Preços'!$N247&lt;0,'Lista de Preços'!$N247&gt;0.5)),"ERRO","OK"),"")</f>
        <v/>
      </c>
      <c r="I258" s="27" t="str">
        <f aca="false">IF(COUNTA('Lista de Preços'!$A247:$W247)&gt;0,IF(OR($C258="ERRO",$D258="ERRO",$E258="ERRO",$F258="ERRO",$G258="ERRO",$H258="ERRO"),"FALHA","OK"),"")</f>
        <v/>
      </c>
    </row>
    <row r="259" customFormat="false" ht="15" hidden="false" customHeight="false" outlineLevel="0" collapsed="false">
      <c r="A259" s="26" t="n">
        <f aca="false">'Lista de Preços'!$A248</f>
        <v>0</v>
      </c>
      <c r="B259" s="26" t="n">
        <f aca="false">'Lista de Preços'!$B248</f>
        <v>0</v>
      </c>
      <c r="C259" s="27" t="str">
        <f aca="false">IF(COUNTA('Lista de Preços'!$A248:$W248)&gt;0,IF((COUNTBLANK('Lista de Preços'!$A248)+COUNTBLANK('Lista de Preços'!$B248)+COUNTBLANK('Lista de Preços'!$C248)+COUNTBLANK('Lista de Preços'!$D248)+COUNTBLANK('Lista de Preços'!$E248)+COUNTBLANK('Lista de Preços'!$F248)+COUNTBLANK('Lista de Preços'!$L248)+COUNTBLANK('Lista de Preços'!$M248)+COUNTBLANK('Lista de Preços'!$P248)+COUNTBLANK('Lista de Preços'!$U248)+COUNTBLANK('Lista de Preços'!$V248))&gt;0,"ERRO","OK"),"")</f>
        <v/>
      </c>
      <c r="D259" s="27" t="str">
        <f aca="false">IF(COUNTA('Lista de Preços'!$A248:$W248)&gt;0,IF(OR(AND('Lista de Preços'!$L248&lt;&gt;"",NOT(ISNUMBER('Lista de Preços'!$L248))),AND('Lista de Preços'!$M248&lt;&gt;"",NOT(ISNUMBER('Lista de Preços'!$M248)))),"ERRO","OK"),"")</f>
        <v/>
      </c>
      <c r="E259" s="27" t="str">
        <f aca="false">IF(COUNTA('Lista de Preços'!$A248:$W248)&gt;0,IF(AND(ISNUMBER('Lista de Preços'!$L248),ISNUMBER('Lista de Preços'!$M248),'Lista de Preços'!$L248&gt;'Lista de Preços'!$M248),"ERRO","OK"),"")</f>
        <v/>
      </c>
      <c r="F259" s="27" t="str">
        <f aca="true">IF(COUNTA('Lista de Preços'!$A248:$W248)&gt;0,IF(AND('Lista de Preços'!$S248&lt;&gt;"",ISNUMBER('Lista de Preços'!$S248),'Lista de Preços'!$S248&lt;TODAY()),"ERRO","OK"),"")</f>
        <v/>
      </c>
      <c r="G259" s="27" t="str">
        <f aca="false">IF(COUNTA('Lista de Preços'!$A248:$W248)&gt;0,IF(AND('Lista de Preços'!$A248&lt;&gt;"",COUNTIF('Lista de Preços'!$A$4:$A$503,'Lista de Preços'!$A248)&gt;1),"ERRO","OK"),"")</f>
        <v/>
      </c>
      <c r="H259" s="27" t="str">
        <f aca="false">IF(COUNTA('Lista de Preços'!$A248:$W248)&gt;0,IF(AND('Lista de Preços'!$N248&lt;&gt;"",ISNUMBER('Lista de Preços'!$N248),OR('Lista de Preços'!$N248&lt;0,'Lista de Preços'!$N248&gt;0.5)),"ERRO","OK"),"")</f>
        <v/>
      </c>
      <c r="I259" s="27" t="str">
        <f aca="false">IF(COUNTA('Lista de Preços'!$A248:$W248)&gt;0,IF(OR($C259="ERRO",$D259="ERRO",$E259="ERRO",$F259="ERRO",$G259="ERRO",$H259="ERRO"),"FALHA","OK"),"")</f>
        <v/>
      </c>
    </row>
    <row r="260" customFormat="false" ht="15" hidden="false" customHeight="false" outlineLevel="0" collapsed="false">
      <c r="A260" s="26" t="n">
        <f aca="false">'Lista de Preços'!$A249</f>
        <v>0</v>
      </c>
      <c r="B260" s="26" t="n">
        <f aca="false">'Lista de Preços'!$B249</f>
        <v>0</v>
      </c>
      <c r="C260" s="27" t="str">
        <f aca="false">IF(COUNTA('Lista de Preços'!$A249:$W249)&gt;0,IF((COUNTBLANK('Lista de Preços'!$A249)+COUNTBLANK('Lista de Preços'!$B249)+COUNTBLANK('Lista de Preços'!$C249)+COUNTBLANK('Lista de Preços'!$D249)+COUNTBLANK('Lista de Preços'!$E249)+COUNTBLANK('Lista de Preços'!$F249)+COUNTBLANK('Lista de Preços'!$L249)+COUNTBLANK('Lista de Preços'!$M249)+COUNTBLANK('Lista de Preços'!$P249)+COUNTBLANK('Lista de Preços'!$U249)+COUNTBLANK('Lista de Preços'!$V249))&gt;0,"ERRO","OK"),"")</f>
        <v/>
      </c>
      <c r="D260" s="27" t="str">
        <f aca="false">IF(COUNTA('Lista de Preços'!$A249:$W249)&gt;0,IF(OR(AND('Lista de Preços'!$L249&lt;&gt;"",NOT(ISNUMBER('Lista de Preços'!$L249))),AND('Lista de Preços'!$M249&lt;&gt;"",NOT(ISNUMBER('Lista de Preços'!$M249)))),"ERRO","OK"),"")</f>
        <v/>
      </c>
      <c r="E260" s="27" t="str">
        <f aca="false">IF(COUNTA('Lista de Preços'!$A249:$W249)&gt;0,IF(AND(ISNUMBER('Lista de Preços'!$L249),ISNUMBER('Lista de Preços'!$M249),'Lista de Preços'!$L249&gt;'Lista de Preços'!$M249),"ERRO","OK"),"")</f>
        <v/>
      </c>
      <c r="F260" s="27" t="str">
        <f aca="true">IF(COUNTA('Lista de Preços'!$A249:$W249)&gt;0,IF(AND('Lista de Preços'!$S249&lt;&gt;"",ISNUMBER('Lista de Preços'!$S249),'Lista de Preços'!$S249&lt;TODAY()),"ERRO","OK"),"")</f>
        <v/>
      </c>
      <c r="G260" s="27" t="str">
        <f aca="false">IF(COUNTA('Lista de Preços'!$A249:$W249)&gt;0,IF(AND('Lista de Preços'!$A249&lt;&gt;"",COUNTIF('Lista de Preços'!$A$4:$A$503,'Lista de Preços'!$A249)&gt;1),"ERRO","OK"),"")</f>
        <v/>
      </c>
      <c r="H260" s="27" t="str">
        <f aca="false">IF(COUNTA('Lista de Preços'!$A249:$W249)&gt;0,IF(AND('Lista de Preços'!$N249&lt;&gt;"",ISNUMBER('Lista de Preços'!$N249),OR('Lista de Preços'!$N249&lt;0,'Lista de Preços'!$N249&gt;0.5)),"ERRO","OK"),"")</f>
        <v/>
      </c>
      <c r="I260" s="27" t="str">
        <f aca="false">IF(COUNTA('Lista de Preços'!$A249:$W249)&gt;0,IF(OR($C260="ERRO",$D260="ERRO",$E260="ERRO",$F260="ERRO",$G260="ERRO",$H260="ERRO"),"FALHA","OK"),"")</f>
        <v/>
      </c>
    </row>
    <row r="261" customFormat="false" ht="15" hidden="false" customHeight="false" outlineLevel="0" collapsed="false">
      <c r="A261" s="26" t="n">
        <f aca="false">'Lista de Preços'!$A250</f>
        <v>0</v>
      </c>
      <c r="B261" s="26" t="n">
        <f aca="false">'Lista de Preços'!$B250</f>
        <v>0</v>
      </c>
      <c r="C261" s="27" t="str">
        <f aca="false">IF(COUNTA('Lista de Preços'!$A250:$W250)&gt;0,IF((COUNTBLANK('Lista de Preços'!$A250)+COUNTBLANK('Lista de Preços'!$B250)+COUNTBLANK('Lista de Preços'!$C250)+COUNTBLANK('Lista de Preços'!$D250)+COUNTBLANK('Lista de Preços'!$E250)+COUNTBLANK('Lista de Preços'!$F250)+COUNTBLANK('Lista de Preços'!$L250)+COUNTBLANK('Lista de Preços'!$M250)+COUNTBLANK('Lista de Preços'!$P250)+COUNTBLANK('Lista de Preços'!$U250)+COUNTBLANK('Lista de Preços'!$V250))&gt;0,"ERRO","OK"),"")</f>
        <v/>
      </c>
      <c r="D261" s="27" t="str">
        <f aca="false">IF(COUNTA('Lista de Preços'!$A250:$W250)&gt;0,IF(OR(AND('Lista de Preços'!$L250&lt;&gt;"",NOT(ISNUMBER('Lista de Preços'!$L250))),AND('Lista de Preços'!$M250&lt;&gt;"",NOT(ISNUMBER('Lista de Preços'!$M250)))),"ERRO","OK"),"")</f>
        <v/>
      </c>
      <c r="E261" s="27" t="str">
        <f aca="false">IF(COUNTA('Lista de Preços'!$A250:$W250)&gt;0,IF(AND(ISNUMBER('Lista de Preços'!$L250),ISNUMBER('Lista de Preços'!$M250),'Lista de Preços'!$L250&gt;'Lista de Preços'!$M250),"ERRO","OK"),"")</f>
        <v/>
      </c>
      <c r="F261" s="27" t="str">
        <f aca="true">IF(COUNTA('Lista de Preços'!$A250:$W250)&gt;0,IF(AND('Lista de Preços'!$S250&lt;&gt;"",ISNUMBER('Lista de Preços'!$S250),'Lista de Preços'!$S250&lt;TODAY()),"ERRO","OK"),"")</f>
        <v/>
      </c>
      <c r="G261" s="27" t="str">
        <f aca="false">IF(COUNTA('Lista de Preços'!$A250:$W250)&gt;0,IF(AND('Lista de Preços'!$A250&lt;&gt;"",COUNTIF('Lista de Preços'!$A$4:$A$503,'Lista de Preços'!$A250)&gt;1),"ERRO","OK"),"")</f>
        <v/>
      </c>
      <c r="H261" s="27" t="str">
        <f aca="false">IF(COUNTA('Lista de Preços'!$A250:$W250)&gt;0,IF(AND('Lista de Preços'!$N250&lt;&gt;"",ISNUMBER('Lista de Preços'!$N250),OR('Lista de Preços'!$N250&lt;0,'Lista de Preços'!$N250&gt;0.5)),"ERRO","OK"),"")</f>
        <v/>
      </c>
      <c r="I261" s="27" t="str">
        <f aca="false">IF(COUNTA('Lista de Preços'!$A250:$W250)&gt;0,IF(OR($C261="ERRO",$D261="ERRO",$E261="ERRO",$F261="ERRO",$G261="ERRO",$H261="ERRO"),"FALHA","OK"),"")</f>
        <v/>
      </c>
    </row>
    <row r="262" customFormat="false" ht="15" hidden="false" customHeight="false" outlineLevel="0" collapsed="false">
      <c r="A262" s="26" t="n">
        <f aca="false">'Lista de Preços'!$A251</f>
        <v>0</v>
      </c>
      <c r="B262" s="26" t="n">
        <f aca="false">'Lista de Preços'!$B251</f>
        <v>0</v>
      </c>
      <c r="C262" s="27" t="str">
        <f aca="false">IF(COUNTA('Lista de Preços'!$A251:$W251)&gt;0,IF((COUNTBLANK('Lista de Preços'!$A251)+COUNTBLANK('Lista de Preços'!$B251)+COUNTBLANK('Lista de Preços'!$C251)+COUNTBLANK('Lista de Preços'!$D251)+COUNTBLANK('Lista de Preços'!$E251)+COUNTBLANK('Lista de Preços'!$F251)+COUNTBLANK('Lista de Preços'!$L251)+COUNTBLANK('Lista de Preços'!$M251)+COUNTBLANK('Lista de Preços'!$P251)+COUNTBLANK('Lista de Preços'!$U251)+COUNTBLANK('Lista de Preços'!$V251))&gt;0,"ERRO","OK"),"")</f>
        <v/>
      </c>
      <c r="D262" s="27" t="str">
        <f aca="false">IF(COUNTA('Lista de Preços'!$A251:$W251)&gt;0,IF(OR(AND('Lista de Preços'!$L251&lt;&gt;"",NOT(ISNUMBER('Lista de Preços'!$L251))),AND('Lista de Preços'!$M251&lt;&gt;"",NOT(ISNUMBER('Lista de Preços'!$M251)))),"ERRO","OK"),"")</f>
        <v/>
      </c>
      <c r="E262" s="27" t="str">
        <f aca="false">IF(COUNTA('Lista de Preços'!$A251:$W251)&gt;0,IF(AND(ISNUMBER('Lista de Preços'!$L251),ISNUMBER('Lista de Preços'!$M251),'Lista de Preços'!$L251&gt;'Lista de Preços'!$M251),"ERRO","OK"),"")</f>
        <v/>
      </c>
      <c r="F262" s="27" t="str">
        <f aca="true">IF(COUNTA('Lista de Preços'!$A251:$W251)&gt;0,IF(AND('Lista de Preços'!$S251&lt;&gt;"",ISNUMBER('Lista de Preços'!$S251),'Lista de Preços'!$S251&lt;TODAY()),"ERRO","OK"),"")</f>
        <v/>
      </c>
      <c r="G262" s="27" t="str">
        <f aca="false">IF(COUNTA('Lista de Preços'!$A251:$W251)&gt;0,IF(AND('Lista de Preços'!$A251&lt;&gt;"",COUNTIF('Lista de Preços'!$A$4:$A$503,'Lista de Preços'!$A251)&gt;1),"ERRO","OK"),"")</f>
        <v/>
      </c>
      <c r="H262" s="27" t="str">
        <f aca="false">IF(COUNTA('Lista de Preços'!$A251:$W251)&gt;0,IF(AND('Lista de Preços'!$N251&lt;&gt;"",ISNUMBER('Lista de Preços'!$N251),OR('Lista de Preços'!$N251&lt;0,'Lista de Preços'!$N251&gt;0.5)),"ERRO","OK"),"")</f>
        <v/>
      </c>
      <c r="I262" s="27" t="str">
        <f aca="false">IF(COUNTA('Lista de Preços'!$A251:$W251)&gt;0,IF(OR($C262="ERRO",$D262="ERRO",$E262="ERRO",$F262="ERRO",$G262="ERRO",$H262="ERRO"),"FALHA","OK"),"")</f>
        <v/>
      </c>
    </row>
    <row r="263" customFormat="false" ht="15" hidden="false" customHeight="false" outlineLevel="0" collapsed="false">
      <c r="A263" s="26" t="n">
        <f aca="false">'Lista de Preços'!$A252</f>
        <v>0</v>
      </c>
      <c r="B263" s="26" t="n">
        <f aca="false">'Lista de Preços'!$B252</f>
        <v>0</v>
      </c>
      <c r="C263" s="27" t="str">
        <f aca="false">IF(COUNTA('Lista de Preços'!$A252:$W252)&gt;0,IF((COUNTBLANK('Lista de Preços'!$A252)+COUNTBLANK('Lista de Preços'!$B252)+COUNTBLANK('Lista de Preços'!$C252)+COUNTBLANK('Lista de Preços'!$D252)+COUNTBLANK('Lista de Preços'!$E252)+COUNTBLANK('Lista de Preços'!$F252)+COUNTBLANK('Lista de Preços'!$L252)+COUNTBLANK('Lista de Preços'!$M252)+COUNTBLANK('Lista de Preços'!$P252)+COUNTBLANK('Lista de Preços'!$U252)+COUNTBLANK('Lista de Preços'!$V252))&gt;0,"ERRO","OK"),"")</f>
        <v/>
      </c>
      <c r="D263" s="27" t="str">
        <f aca="false">IF(COUNTA('Lista de Preços'!$A252:$W252)&gt;0,IF(OR(AND('Lista de Preços'!$L252&lt;&gt;"",NOT(ISNUMBER('Lista de Preços'!$L252))),AND('Lista de Preços'!$M252&lt;&gt;"",NOT(ISNUMBER('Lista de Preços'!$M252)))),"ERRO","OK"),"")</f>
        <v/>
      </c>
      <c r="E263" s="27" t="str">
        <f aca="false">IF(COUNTA('Lista de Preços'!$A252:$W252)&gt;0,IF(AND(ISNUMBER('Lista de Preços'!$L252),ISNUMBER('Lista de Preços'!$M252),'Lista de Preços'!$L252&gt;'Lista de Preços'!$M252),"ERRO","OK"),"")</f>
        <v/>
      </c>
      <c r="F263" s="27" t="str">
        <f aca="true">IF(COUNTA('Lista de Preços'!$A252:$W252)&gt;0,IF(AND('Lista de Preços'!$S252&lt;&gt;"",ISNUMBER('Lista de Preços'!$S252),'Lista de Preços'!$S252&lt;TODAY()),"ERRO","OK"),"")</f>
        <v/>
      </c>
      <c r="G263" s="27" t="str">
        <f aca="false">IF(COUNTA('Lista de Preços'!$A252:$W252)&gt;0,IF(AND('Lista de Preços'!$A252&lt;&gt;"",COUNTIF('Lista de Preços'!$A$4:$A$503,'Lista de Preços'!$A252)&gt;1),"ERRO","OK"),"")</f>
        <v/>
      </c>
      <c r="H263" s="27" t="str">
        <f aca="false">IF(COUNTA('Lista de Preços'!$A252:$W252)&gt;0,IF(AND('Lista de Preços'!$N252&lt;&gt;"",ISNUMBER('Lista de Preços'!$N252),OR('Lista de Preços'!$N252&lt;0,'Lista de Preços'!$N252&gt;0.5)),"ERRO","OK"),"")</f>
        <v/>
      </c>
      <c r="I263" s="27" t="str">
        <f aca="false">IF(COUNTA('Lista de Preços'!$A252:$W252)&gt;0,IF(OR($C263="ERRO",$D263="ERRO",$E263="ERRO",$F263="ERRO",$G263="ERRO",$H263="ERRO"),"FALHA","OK"),"")</f>
        <v/>
      </c>
    </row>
    <row r="264" customFormat="false" ht="15" hidden="false" customHeight="false" outlineLevel="0" collapsed="false">
      <c r="A264" s="26" t="n">
        <f aca="false">'Lista de Preços'!$A253</f>
        <v>0</v>
      </c>
      <c r="B264" s="26" t="n">
        <f aca="false">'Lista de Preços'!$B253</f>
        <v>0</v>
      </c>
      <c r="C264" s="27" t="str">
        <f aca="false">IF(COUNTA('Lista de Preços'!$A253:$W253)&gt;0,IF((COUNTBLANK('Lista de Preços'!$A253)+COUNTBLANK('Lista de Preços'!$B253)+COUNTBLANK('Lista de Preços'!$C253)+COUNTBLANK('Lista de Preços'!$D253)+COUNTBLANK('Lista de Preços'!$E253)+COUNTBLANK('Lista de Preços'!$F253)+COUNTBLANK('Lista de Preços'!$L253)+COUNTBLANK('Lista de Preços'!$M253)+COUNTBLANK('Lista de Preços'!$P253)+COUNTBLANK('Lista de Preços'!$U253)+COUNTBLANK('Lista de Preços'!$V253))&gt;0,"ERRO","OK"),"")</f>
        <v/>
      </c>
      <c r="D264" s="27" t="str">
        <f aca="false">IF(COUNTA('Lista de Preços'!$A253:$W253)&gt;0,IF(OR(AND('Lista de Preços'!$L253&lt;&gt;"",NOT(ISNUMBER('Lista de Preços'!$L253))),AND('Lista de Preços'!$M253&lt;&gt;"",NOT(ISNUMBER('Lista de Preços'!$M253)))),"ERRO","OK"),"")</f>
        <v/>
      </c>
      <c r="E264" s="27" t="str">
        <f aca="false">IF(COUNTA('Lista de Preços'!$A253:$W253)&gt;0,IF(AND(ISNUMBER('Lista de Preços'!$L253),ISNUMBER('Lista de Preços'!$M253),'Lista de Preços'!$L253&gt;'Lista de Preços'!$M253),"ERRO","OK"),"")</f>
        <v/>
      </c>
      <c r="F264" s="27" t="str">
        <f aca="true">IF(COUNTA('Lista de Preços'!$A253:$W253)&gt;0,IF(AND('Lista de Preços'!$S253&lt;&gt;"",ISNUMBER('Lista de Preços'!$S253),'Lista de Preços'!$S253&lt;TODAY()),"ERRO","OK"),"")</f>
        <v/>
      </c>
      <c r="G264" s="27" t="str">
        <f aca="false">IF(COUNTA('Lista de Preços'!$A253:$W253)&gt;0,IF(AND('Lista de Preços'!$A253&lt;&gt;"",COUNTIF('Lista de Preços'!$A$4:$A$503,'Lista de Preços'!$A253)&gt;1),"ERRO","OK"),"")</f>
        <v/>
      </c>
      <c r="H264" s="27" t="str">
        <f aca="false">IF(COUNTA('Lista de Preços'!$A253:$W253)&gt;0,IF(AND('Lista de Preços'!$N253&lt;&gt;"",ISNUMBER('Lista de Preços'!$N253),OR('Lista de Preços'!$N253&lt;0,'Lista de Preços'!$N253&gt;0.5)),"ERRO","OK"),"")</f>
        <v/>
      </c>
      <c r="I264" s="27" t="str">
        <f aca="false">IF(COUNTA('Lista de Preços'!$A253:$W253)&gt;0,IF(OR($C264="ERRO",$D264="ERRO",$E264="ERRO",$F264="ERRO",$G264="ERRO",$H264="ERRO"),"FALHA","OK"),"")</f>
        <v/>
      </c>
    </row>
    <row r="265" customFormat="false" ht="15" hidden="false" customHeight="false" outlineLevel="0" collapsed="false">
      <c r="A265" s="26" t="n">
        <f aca="false">'Lista de Preços'!$A254</f>
        <v>0</v>
      </c>
      <c r="B265" s="26" t="n">
        <f aca="false">'Lista de Preços'!$B254</f>
        <v>0</v>
      </c>
      <c r="C265" s="27" t="str">
        <f aca="false">IF(COUNTA('Lista de Preços'!$A254:$W254)&gt;0,IF((COUNTBLANK('Lista de Preços'!$A254)+COUNTBLANK('Lista de Preços'!$B254)+COUNTBLANK('Lista de Preços'!$C254)+COUNTBLANK('Lista de Preços'!$D254)+COUNTBLANK('Lista de Preços'!$E254)+COUNTBLANK('Lista de Preços'!$F254)+COUNTBLANK('Lista de Preços'!$L254)+COUNTBLANK('Lista de Preços'!$M254)+COUNTBLANK('Lista de Preços'!$P254)+COUNTBLANK('Lista de Preços'!$U254)+COUNTBLANK('Lista de Preços'!$V254))&gt;0,"ERRO","OK"),"")</f>
        <v/>
      </c>
      <c r="D265" s="27" t="str">
        <f aca="false">IF(COUNTA('Lista de Preços'!$A254:$W254)&gt;0,IF(OR(AND('Lista de Preços'!$L254&lt;&gt;"",NOT(ISNUMBER('Lista de Preços'!$L254))),AND('Lista de Preços'!$M254&lt;&gt;"",NOT(ISNUMBER('Lista de Preços'!$M254)))),"ERRO","OK"),"")</f>
        <v/>
      </c>
      <c r="E265" s="27" t="str">
        <f aca="false">IF(COUNTA('Lista de Preços'!$A254:$W254)&gt;0,IF(AND(ISNUMBER('Lista de Preços'!$L254),ISNUMBER('Lista de Preços'!$M254),'Lista de Preços'!$L254&gt;'Lista de Preços'!$M254),"ERRO","OK"),"")</f>
        <v/>
      </c>
      <c r="F265" s="27" t="str">
        <f aca="true">IF(COUNTA('Lista de Preços'!$A254:$W254)&gt;0,IF(AND('Lista de Preços'!$S254&lt;&gt;"",ISNUMBER('Lista de Preços'!$S254),'Lista de Preços'!$S254&lt;TODAY()),"ERRO","OK"),"")</f>
        <v/>
      </c>
      <c r="G265" s="27" t="str">
        <f aca="false">IF(COUNTA('Lista de Preços'!$A254:$W254)&gt;0,IF(AND('Lista de Preços'!$A254&lt;&gt;"",COUNTIF('Lista de Preços'!$A$4:$A$503,'Lista de Preços'!$A254)&gt;1),"ERRO","OK"),"")</f>
        <v/>
      </c>
      <c r="H265" s="27" t="str">
        <f aca="false">IF(COUNTA('Lista de Preços'!$A254:$W254)&gt;0,IF(AND('Lista de Preços'!$N254&lt;&gt;"",ISNUMBER('Lista de Preços'!$N254),OR('Lista de Preços'!$N254&lt;0,'Lista de Preços'!$N254&gt;0.5)),"ERRO","OK"),"")</f>
        <v/>
      </c>
      <c r="I265" s="27" t="str">
        <f aca="false">IF(COUNTA('Lista de Preços'!$A254:$W254)&gt;0,IF(OR($C265="ERRO",$D265="ERRO",$E265="ERRO",$F265="ERRO",$G265="ERRO",$H265="ERRO"),"FALHA","OK"),"")</f>
        <v/>
      </c>
    </row>
    <row r="266" customFormat="false" ht="15" hidden="false" customHeight="false" outlineLevel="0" collapsed="false">
      <c r="A266" s="26" t="n">
        <f aca="false">'Lista de Preços'!$A255</f>
        <v>0</v>
      </c>
      <c r="B266" s="26" t="n">
        <f aca="false">'Lista de Preços'!$B255</f>
        <v>0</v>
      </c>
      <c r="C266" s="27" t="str">
        <f aca="false">IF(COUNTA('Lista de Preços'!$A255:$W255)&gt;0,IF((COUNTBLANK('Lista de Preços'!$A255)+COUNTBLANK('Lista de Preços'!$B255)+COUNTBLANK('Lista de Preços'!$C255)+COUNTBLANK('Lista de Preços'!$D255)+COUNTBLANK('Lista de Preços'!$E255)+COUNTBLANK('Lista de Preços'!$F255)+COUNTBLANK('Lista de Preços'!$L255)+COUNTBLANK('Lista de Preços'!$M255)+COUNTBLANK('Lista de Preços'!$P255)+COUNTBLANK('Lista de Preços'!$U255)+COUNTBLANK('Lista de Preços'!$V255))&gt;0,"ERRO","OK"),"")</f>
        <v/>
      </c>
      <c r="D266" s="27" t="str">
        <f aca="false">IF(COUNTA('Lista de Preços'!$A255:$W255)&gt;0,IF(OR(AND('Lista de Preços'!$L255&lt;&gt;"",NOT(ISNUMBER('Lista de Preços'!$L255))),AND('Lista de Preços'!$M255&lt;&gt;"",NOT(ISNUMBER('Lista de Preços'!$M255)))),"ERRO","OK"),"")</f>
        <v/>
      </c>
      <c r="E266" s="27" t="str">
        <f aca="false">IF(COUNTA('Lista de Preços'!$A255:$W255)&gt;0,IF(AND(ISNUMBER('Lista de Preços'!$L255),ISNUMBER('Lista de Preços'!$M255),'Lista de Preços'!$L255&gt;'Lista de Preços'!$M255),"ERRO","OK"),"")</f>
        <v/>
      </c>
      <c r="F266" s="27" t="str">
        <f aca="true">IF(COUNTA('Lista de Preços'!$A255:$W255)&gt;0,IF(AND('Lista de Preços'!$S255&lt;&gt;"",ISNUMBER('Lista de Preços'!$S255),'Lista de Preços'!$S255&lt;TODAY()),"ERRO","OK"),"")</f>
        <v/>
      </c>
      <c r="G266" s="27" t="str">
        <f aca="false">IF(COUNTA('Lista de Preços'!$A255:$W255)&gt;0,IF(AND('Lista de Preços'!$A255&lt;&gt;"",COUNTIF('Lista de Preços'!$A$4:$A$503,'Lista de Preços'!$A255)&gt;1),"ERRO","OK"),"")</f>
        <v/>
      </c>
      <c r="H266" s="27" t="str">
        <f aca="false">IF(COUNTA('Lista de Preços'!$A255:$W255)&gt;0,IF(AND('Lista de Preços'!$N255&lt;&gt;"",ISNUMBER('Lista de Preços'!$N255),OR('Lista de Preços'!$N255&lt;0,'Lista de Preços'!$N255&gt;0.5)),"ERRO","OK"),"")</f>
        <v/>
      </c>
      <c r="I266" s="27" t="str">
        <f aca="false">IF(COUNTA('Lista de Preços'!$A255:$W255)&gt;0,IF(OR($C266="ERRO",$D266="ERRO",$E266="ERRO",$F266="ERRO",$G266="ERRO",$H266="ERRO"),"FALHA","OK"),"")</f>
        <v/>
      </c>
    </row>
    <row r="267" customFormat="false" ht="15" hidden="false" customHeight="false" outlineLevel="0" collapsed="false">
      <c r="A267" s="26" t="n">
        <f aca="false">'Lista de Preços'!$A256</f>
        <v>0</v>
      </c>
      <c r="B267" s="26" t="n">
        <f aca="false">'Lista de Preços'!$B256</f>
        <v>0</v>
      </c>
      <c r="C267" s="27" t="str">
        <f aca="false">IF(COUNTA('Lista de Preços'!$A256:$W256)&gt;0,IF((COUNTBLANK('Lista de Preços'!$A256)+COUNTBLANK('Lista de Preços'!$B256)+COUNTBLANK('Lista de Preços'!$C256)+COUNTBLANK('Lista de Preços'!$D256)+COUNTBLANK('Lista de Preços'!$E256)+COUNTBLANK('Lista de Preços'!$F256)+COUNTBLANK('Lista de Preços'!$L256)+COUNTBLANK('Lista de Preços'!$M256)+COUNTBLANK('Lista de Preços'!$P256)+COUNTBLANK('Lista de Preços'!$U256)+COUNTBLANK('Lista de Preços'!$V256))&gt;0,"ERRO","OK"),"")</f>
        <v/>
      </c>
      <c r="D267" s="27" t="str">
        <f aca="false">IF(COUNTA('Lista de Preços'!$A256:$W256)&gt;0,IF(OR(AND('Lista de Preços'!$L256&lt;&gt;"",NOT(ISNUMBER('Lista de Preços'!$L256))),AND('Lista de Preços'!$M256&lt;&gt;"",NOT(ISNUMBER('Lista de Preços'!$M256)))),"ERRO","OK"),"")</f>
        <v/>
      </c>
      <c r="E267" s="27" t="str">
        <f aca="false">IF(COUNTA('Lista de Preços'!$A256:$W256)&gt;0,IF(AND(ISNUMBER('Lista de Preços'!$L256),ISNUMBER('Lista de Preços'!$M256),'Lista de Preços'!$L256&gt;'Lista de Preços'!$M256),"ERRO","OK"),"")</f>
        <v/>
      </c>
      <c r="F267" s="27" t="str">
        <f aca="true">IF(COUNTA('Lista de Preços'!$A256:$W256)&gt;0,IF(AND('Lista de Preços'!$S256&lt;&gt;"",ISNUMBER('Lista de Preços'!$S256),'Lista de Preços'!$S256&lt;TODAY()),"ERRO","OK"),"")</f>
        <v/>
      </c>
      <c r="G267" s="27" t="str">
        <f aca="false">IF(COUNTA('Lista de Preços'!$A256:$W256)&gt;0,IF(AND('Lista de Preços'!$A256&lt;&gt;"",COUNTIF('Lista de Preços'!$A$4:$A$503,'Lista de Preços'!$A256)&gt;1),"ERRO","OK"),"")</f>
        <v/>
      </c>
      <c r="H267" s="27" t="str">
        <f aca="false">IF(COUNTA('Lista de Preços'!$A256:$W256)&gt;0,IF(AND('Lista de Preços'!$N256&lt;&gt;"",ISNUMBER('Lista de Preços'!$N256),OR('Lista de Preços'!$N256&lt;0,'Lista de Preços'!$N256&gt;0.5)),"ERRO","OK"),"")</f>
        <v/>
      </c>
      <c r="I267" s="27" t="str">
        <f aca="false">IF(COUNTA('Lista de Preços'!$A256:$W256)&gt;0,IF(OR($C267="ERRO",$D267="ERRO",$E267="ERRO",$F267="ERRO",$G267="ERRO",$H267="ERRO"),"FALHA","OK"),"")</f>
        <v/>
      </c>
    </row>
    <row r="268" customFormat="false" ht="15" hidden="false" customHeight="false" outlineLevel="0" collapsed="false">
      <c r="A268" s="26" t="n">
        <f aca="false">'Lista de Preços'!$A257</f>
        <v>0</v>
      </c>
      <c r="B268" s="26" t="n">
        <f aca="false">'Lista de Preços'!$B257</f>
        <v>0</v>
      </c>
      <c r="C268" s="27" t="str">
        <f aca="false">IF(COUNTA('Lista de Preços'!$A257:$W257)&gt;0,IF((COUNTBLANK('Lista de Preços'!$A257)+COUNTBLANK('Lista de Preços'!$B257)+COUNTBLANK('Lista de Preços'!$C257)+COUNTBLANK('Lista de Preços'!$D257)+COUNTBLANK('Lista de Preços'!$E257)+COUNTBLANK('Lista de Preços'!$F257)+COUNTBLANK('Lista de Preços'!$L257)+COUNTBLANK('Lista de Preços'!$M257)+COUNTBLANK('Lista de Preços'!$P257)+COUNTBLANK('Lista de Preços'!$U257)+COUNTBLANK('Lista de Preços'!$V257))&gt;0,"ERRO","OK"),"")</f>
        <v/>
      </c>
      <c r="D268" s="27" t="str">
        <f aca="false">IF(COUNTA('Lista de Preços'!$A257:$W257)&gt;0,IF(OR(AND('Lista de Preços'!$L257&lt;&gt;"",NOT(ISNUMBER('Lista de Preços'!$L257))),AND('Lista de Preços'!$M257&lt;&gt;"",NOT(ISNUMBER('Lista de Preços'!$M257)))),"ERRO","OK"),"")</f>
        <v/>
      </c>
      <c r="E268" s="27" t="str">
        <f aca="false">IF(COUNTA('Lista de Preços'!$A257:$W257)&gt;0,IF(AND(ISNUMBER('Lista de Preços'!$L257),ISNUMBER('Lista de Preços'!$M257),'Lista de Preços'!$L257&gt;'Lista de Preços'!$M257),"ERRO","OK"),"")</f>
        <v/>
      </c>
      <c r="F268" s="27" t="str">
        <f aca="true">IF(COUNTA('Lista de Preços'!$A257:$W257)&gt;0,IF(AND('Lista de Preços'!$S257&lt;&gt;"",ISNUMBER('Lista de Preços'!$S257),'Lista de Preços'!$S257&lt;TODAY()),"ERRO","OK"),"")</f>
        <v/>
      </c>
      <c r="G268" s="27" t="str">
        <f aca="false">IF(COUNTA('Lista de Preços'!$A257:$W257)&gt;0,IF(AND('Lista de Preços'!$A257&lt;&gt;"",COUNTIF('Lista de Preços'!$A$4:$A$503,'Lista de Preços'!$A257)&gt;1),"ERRO","OK"),"")</f>
        <v/>
      </c>
      <c r="H268" s="27" t="str">
        <f aca="false">IF(COUNTA('Lista de Preços'!$A257:$W257)&gt;0,IF(AND('Lista de Preços'!$N257&lt;&gt;"",ISNUMBER('Lista de Preços'!$N257),OR('Lista de Preços'!$N257&lt;0,'Lista de Preços'!$N257&gt;0.5)),"ERRO","OK"),"")</f>
        <v/>
      </c>
      <c r="I268" s="27" t="str">
        <f aca="false">IF(COUNTA('Lista de Preços'!$A257:$W257)&gt;0,IF(OR($C268="ERRO",$D268="ERRO",$E268="ERRO",$F268="ERRO",$G268="ERRO",$H268="ERRO"),"FALHA","OK"),"")</f>
        <v/>
      </c>
    </row>
    <row r="269" customFormat="false" ht="15" hidden="false" customHeight="false" outlineLevel="0" collapsed="false">
      <c r="A269" s="26" t="n">
        <f aca="false">'Lista de Preços'!$A258</f>
        <v>0</v>
      </c>
      <c r="B269" s="26" t="n">
        <f aca="false">'Lista de Preços'!$B258</f>
        <v>0</v>
      </c>
      <c r="C269" s="27" t="str">
        <f aca="false">IF(COUNTA('Lista de Preços'!$A258:$W258)&gt;0,IF((COUNTBLANK('Lista de Preços'!$A258)+COUNTBLANK('Lista de Preços'!$B258)+COUNTBLANK('Lista de Preços'!$C258)+COUNTBLANK('Lista de Preços'!$D258)+COUNTBLANK('Lista de Preços'!$E258)+COUNTBLANK('Lista de Preços'!$F258)+COUNTBLANK('Lista de Preços'!$L258)+COUNTBLANK('Lista de Preços'!$M258)+COUNTBLANK('Lista de Preços'!$P258)+COUNTBLANK('Lista de Preços'!$U258)+COUNTBLANK('Lista de Preços'!$V258))&gt;0,"ERRO","OK"),"")</f>
        <v/>
      </c>
      <c r="D269" s="27" t="str">
        <f aca="false">IF(COUNTA('Lista de Preços'!$A258:$W258)&gt;0,IF(OR(AND('Lista de Preços'!$L258&lt;&gt;"",NOT(ISNUMBER('Lista de Preços'!$L258))),AND('Lista de Preços'!$M258&lt;&gt;"",NOT(ISNUMBER('Lista de Preços'!$M258)))),"ERRO","OK"),"")</f>
        <v/>
      </c>
      <c r="E269" s="27" t="str">
        <f aca="false">IF(COUNTA('Lista de Preços'!$A258:$W258)&gt;0,IF(AND(ISNUMBER('Lista de Preços'!$L258),ISNUMBER('Lista de Preços'!$M258),'Lista de Preços'!$L258&gt;'Lista de Preços'!$M258),"ERRO","OK"),"")</f>
        <v/>
      </c>
      <c r="F269" s="27" t="str">
        <f aca="true">IF(COUNTA('Lista de Preços'!$A258:$W258)&gt;0,IF(AND('Lista de Preços'!$S258&lt;&gt;"",ISNUMBER('Lista de Preços'!$S258),'Lista de Preços'!$S258&lt;TODAY()),"ERRO","OK"),"")</f>
        <v/>
      </c>
      <c r="G269" s="27" t="str">
        <f aca="false">IF(COUNTA('Lista de Preços'!$A258:$W258)&gt;0,IF(AND('Lista de Preços'!$A258&lt;&gt;"",COUNTIF('Lista de Preços'!$A$4:$A$503,'Lista de Preços'!$A258)&gt;1),"ERRO","OK"),"")</f>
        <v/>
      </c>
      <c r="H269" s="27" t="str">
        <f aca="false">IF(COUNTA('Lista de Preços'!$A258:$W258)&gt;0,IF(AND('Lista de Preços'!$N258&lt;&gt;"",ISNUMBER('Lista de Preços'!$N258),OR('Lista de Preços'!$N258&lt;0,'Lista de Preços'!$N258&gt;0.5)),"ERRO","OK"),"")</f>
        <v/>
      </c>
      <c r="I269" s="27" t="str">
        <f aca="false">IF(COUNTA('Lista de Preços'!$A258:$W258)&gt;0,IF(OR($C269="ERRO",$D269="ERRO",$E269="ERRO",$F269="ERRO",$G269="ERRO",$H269="ERRO"),"FALHA","OK"),"")</f>
        <v/>
      </c>
    </row>
    <row r="270" customFormat="false" ht="15" hidden="false" customHeight="false" outlineLevel="0" collapsed="false">
      <c r="A270" s="26" t="n">
        <f aca="false">'Lista de Preços'!$A259</f>
        <v>0</v>
      </c>
      <c r="B270" s="26" t="n">
        <f aca="false">'Lista de Preços'!$B259</f>
        <v>0</v>
      </c>
      <c r="C270" s="27" t="str">
        <f aca="false">IF(COUNTA('Lista de Preços'!$A259:$W259)&gt;0,IF((COUNTBLANK('Lista de Preços'!$A259)+COUNTBLANK('Lista de Preços'!$B259)+COUNTBLANK('Lista de Preços'!$C259)+COUNTBLANK('Lista de Preços'!$D259)+COUNTBLANK('Lista de Preços'!$E259)+COUNTBLANK('Lista de Preços'!$F259)+COUNTBLANK('Lista de Preços'!$L259)+COUNTBLANK('Lista de Preços'!$M259)+COUNTBLANK('Lista de Preços'!$P259)+COUNTBLANK('Lista de Preços'!$U259)+COUNTBLANK('Lista de Preços'!$V259))&gt;0,"ERRO","OK"),"")</f>
        <v/>
      </c>
      <c r="D270" s="27" t="str">
        <f aca="false">IF(COUNTA('Lista de Preços'!$A259:$W259)&gt;0,IF(OR(AND('Lista de Preços'!$L259&lt;&gt;"",NOT(ISNUMBER('Lista de Preços'!$L259))),AND('Lista de Preços'!$M259&lt;&gt;"",NOT(ISNUMBER('Lista de Preços'!$M259)))),"ERRO","OK"),"")</f>
        <v/>
      </c>
      <c r="E270" s="27" t="str">
        <f aca="false">IF(COUNTA('Lista de Preços'!$A259:$W259)&gt;0,IF(AND(ISNUMBER('Lista de Preços'!$L259),ISNUMBER('Lista de Preços'!$M259),'Lista de Preços'!$L259&gt;'Lista de Preços'!$M259),"ERRO","OK"),"")</f>
        <v/>
      </c>
      <c r="F270" s="27" t="str">
        <f aca="true">IF(COUNTA('Lista de Preços'!$A259:$W259)&gt;0,IF(AND('Lista de Preços'!$S259&lt;&gt;"",ISNUMBER('Lista de Preços'!$S259),'Lista de Preços'!$S259&lt;TODAY()),"ERRO","OK"),"")</f>
        <v/>
      </c>
      <c r="G270" s="27" t="str">
        <f aca="false">IF(COUNTA('Lista de Preços'!$A259:$W259)&gt;0,IF(AND('Lista de Preços'!$A259&lt;&gt;"",COUNTIF('Lista de Preços'!$A$4:$A$503,'Lista de Preços'!$A259)&gt;1),"ERRO","OK"),"")</f>
        <v/>
      </c>
      <c r="H270" s="27" t="str">
        <f aca="false">IF(COUNTA('Lista de Preços'!$A259:$W259)&gt;0,IF(AND('Lista de Preços'!$N259&lt;&gt;"",ISNUMBER('Lista de Preços'!$N259),OR('Lista de Preços'!$N259&lt;0,'Lista de Preços'!$N259&gt;0.5)),"ERRO","OK"),"")</f>
        <v/>
      </c>
      <c r="I270" s="27" t="str">
        <f aca="false">IF(COUNTA('Lista de Preços'!$A259:$W259)&gt;0,IF(OR($C270="ERRO",$D270="ERRO",$E270="ERRO",$F270="ERRO",$G270="ERRO",$H270="ERRO"),"FALHA","OK"),"")</f>
        <v/>
      </c>
    </row>
    <row r="271" customFormat="false" ht="15" hidden="false" customHeight="false" outlineLevel="0" collapsed="false">
      <c r="A271" s="26" t="n">
        <f aca="false">'Lista de Preços'!$A260</f>
        <v>0</v>
      </c>
      <c r="B271" s="26" t="n">
        <f aca="false">'Lista de Preços'!$B260</f>
        <v>0</v>
      </c>
      <c r="C271" s="27" t="str">
        <f aca="false">IF(COUNTA('Lista de Preços'!$A260:$W260)&gt;0,IF((COUNTBLANK('Lista de Preços'!$A260)+COUNTBLANK('Lista de Preços'!$B260)+COUNTBLANK('Lista de Preços'!$C260)+COUNTBLANK('Lista de Preços'!$D260)+COUNTBLANK('Lista de Preços'!$E260)+COUNTBLANK('Lista de Preços'!$F260)+COUNTBLANK('Lista de Preços'!$L260)+COUNTBLANK('Lista de Preços'!$M260)+COUNTBLANK('Lista de Preços'!$P260)+COUNTBLANK('Lista de Preços'!$U260)+COUNTBLANK('Lista de Preços'!$V260))&gt;0,"ERRO","OK"),"")</f>
        <v/>
      </c>
      <c r="D271" s="27" t="str">
        <f aca="false">IF(COUNTA('Lista de Preços'!$A260:$W260)&gt;0,IF(OR(AND('Lista de Preços'!$L260&lt;&gt;"",NOT(ISNUMBER('Lista de Preços'!$L260))),AND('Lista de Preços'!$M260&lt;&gt;"",NOT(ISNUMBER('Lista de Preços'!$M260)))),"ERRO","OK"),"")</f>
        <v/>
      </c>
      <c r="E271" s="27" t="str">
        <f aca="false">IF(COUNTA('Lista de Preços'!$A260:$W260)&gt;0,IF(AND(ISNUMBER('Lista de Preços'!$L260),ISNUMBER('Lista de Preços'!$M260),'Lista de Preços'!$L260&gt;'Lista de Preços'!$M260),"ERRO","OK"),"")</f>
        <v/>
      </c>
      <c r="F271" s="27" t="str">
        <f aca="true">IF(COUNTA('Lista de Preços'!$A260:$W260)&gt;0,IF(AND('Lista de Preços'!$S260&lt;&gt;"",ISNUMBER('Lista de Preços'!$S260),'Lista de Preços'!$S260&lt;TODAY()),"ERRO","OK"),"")</f>
        <v/>
      </c>
      <c r="G271" s="27" t="str">
        <f aca="false">IF(COUNTA('Lista de Preços'!$A260:$W260)&gt;0,IF(AND('Lista de Preços'!$A260&lt;&gt;"",COUNTIF('Lista de Preços'!$A$4:$A$503,'Lista de Preços'!$A260)&gt;1),"ERRO","OK"),"")</f>
        <v/>
      </c>
      <c r="H271" s="27" t="str">
        <f aca="false">IF(COUNTA('Lista de Preços'!$A260:$W260)&gt;0,IF(AND('Lista de Preços'!$N260&lt;&gt;"",ISNUMBER('Lista de Preços'!$N260),OR('Lista de Preços'!$N260&lt;0,'Lista de Preços'!$N260&gt;0.5)),"ERRO","OK"),"")</f>
        <v/>
      </c>
      <c r="I271" s="27" t="str">
        <f aca="false">IF(COUNTA('Lista de Preços'!$A260:$W260)&gt;0,IF(OR($C271="ERRO",$D271="ERRO",$E271="ERRO",$F271="ERRO",$G271="ERRO",$H271="ERRO"),"FALHA","OK"),"")</f>
        <v/>
      </c>
    </row>
    <row r="272" customFormat="false" ht="15" hidden="false" customHeight="false" outlineLevel="0" collapsed="false">
      <c r="A272" s="26" t="n">
        <f aca="false">'Lista de Preços'!$A261</f>
        <v>0</v>
      </c>
      <c r="B272" s="26" t="n">
        <f aca="false">'Lista de Preços'!$B261</f>
        <v>0</v>
      </c>
      <c r="C272" s="27" t="str">
        <f aca="false">IF(COUNTA('Lista de Preços'!$A261:$W261)&gt;0,IF((COUNTBLANK('Lista de Preços'!$A261)+COUNTBLANK('Lista de Preços'!$B261)+COUNTBLANK('Lista de Preços'!$C261)+COUNTBLANK('Lista de Preços'!$D261)+COUNTBLANK('Lista de Preços'!$E261)+COUNTBLANK('Lista de Preços'!$F261)+COUNTBLANK('Lista de Preços'!$L261)+COUNTBLANK('Lista de Preços'!$M261)+COUNTBLANK('Lista de Preços'!$P261)+COUNTBLANK('Lista de Preços'!$U261)+COUNTBLANK('Lista de Preços'!$V261))&gt;0,"ERRO","OK"),"")</f>
        <v/>
      </c>
      <c r="D272" s="27" t="str">
        <f aca="false">IF(COUNTA('Lista de Preços'!$A261:$W261)&gt;0,IF(OR(AND('Lista de Preços'!$L261&lt;&gt;"",NOT(ISNUMBER('Lista de Preços'!$L261))),AND('Lista de Preços'!$M261&lt;&gt;"",NOT(ISNUMBER('Lista de Preços'!$M261)))),"ERRO","OK"),"")</f>
        <v/>
      </c>
      <c r="E272" s="27" t="str">
        <f aca="false">IF(COUNTA('Lista de Preços'!$A261:$W261)&gt;0,IF(AND(ISNUMBER('Lista de Preços'!$L261),ISNUMBER('Lista de Preços'!$M261),'Lista de Preços'!$L261&gt;'Lista de Preços'!$M261),"ERRO","OK"),"")</f>
        <v/>
      </c>
      <c r="F272" s="27" t="str">
        <f aca="true">IF(COUNTA('Lista de Preços'!$A261:$W261)&gt;0,IF(AND('Lista de Preços'!$S261&lt;&gt;"",ISNUMBER('Lista de Preços'!$S261),'Lista de Preços'!$S261&lt;TODAY()),"ERRO","OK"),"")</f>
        <v/>
      </c>
      <c r="G272" s="27" t="str">
        <f aca="false">IF(COUNTA('Lista de Preços'!$A261:$W261)&gt;0,IF(AND('Lista de Preços'!$A261&lt;&gt;"",COUNTIF('Lista de Preços'!$A$4:$A$503,'Lista de Preços'!$A261)&gt;1),"ERRO","OK"),"")</f>
        <v/>
      </c>
      <c r="H272" s="27" t="str">
        <f aca="false">IF(COUNTA('Lista de Preços'!$A261:$W261)&gt;0,IF(AND('Lista de Preços'!$N261&lt;&gt;"",ISNUMBER('Lista de Preços'!$N261),OR('Lista de Preços'!$N261&lt;0,'Lista de Preços'!$N261&gt;0.5)),"ERRO","OK"),"")</f>
        <v/>
      </c>
      <c r="I272" s="27" t="str">
        <f aca="false">IF(COUNTA('Lista de Preços'!$A261:$W261)&gt;0,IF(OR($C272="ERRO",$D272="ERRO",$E272="ERRO",$F272="ERRO",$G272="ERRO",$H272="ERRO"),"FALHA","OK"),"")</f>
        <v/>
      </c>
    </row>
    <row r="273" customFormat="false" ht="15" hidden="false" customHeight="false" outlineLevel="0" collapsed="false">
      <c r="A273" s="26" t="n">
        <f aca="false">'Lista de Preços'!$A262</f>
        <v>0</v>
      </c>
      <c r="B273" s="26" t="n">
        <f aca="false">'Lista de Preços'!$B262</f>
        <v>0</v>
      </c>
      <c r="C273" s="27" t="str">
        <f aca="false">IF(COUNTA('Lista de Preços'!$A262:$W262)&gt;0,IF((COUNTBLANK('Lista de Preços'!$A262)+COUNTBLANK('Lista de Preços'!$B262)+COUNTBLANK('Lista de Preços'!$C262)+COUNTBLANK('Lista de Preços'!$D262)+COUNTBLANK('Lista de Preços'!$E262)+COUNTBLANK('Lista de Preços'!$F262)+COUNTBLANK('Lista de Preços'!$L262)+COUNTBLANK('Lista de Preços'!$M262)+COUNTBLANK('Lista de Preços'!$P262)+COUNTBLANK('Lista de Preços'!$U262)+COUNTBLANK('Lista de Preços'!$V262))&gt;0,"ERRO","OK"),"")</f>
        <v/>
      </c>
      <c r="D273" s="27" t="str">
        <f aca="false">IF(COUNTA('Lista de Preços'!$A262:$W262)&gt;0,IF(OR(AND('Lista de Preços'!$L262&lt;&gt;"",NOT(ISNUMBER('Lista de Preços'!$L262))),AND('Lista de Preços'!$M262&lt;&gt;"",NOT(ISNUMBER('Lista de Preços'!$M262)))),"ERRO","OK"),"")</f>
        <v/>
      </c>
      <c r="E273" s="27" t="str">
        <f aca="false">IF(COUNTA('Lista de Preços'!$A262:$W262)&gt;0,IF(AND(ISNUMBER('Lista de Preços'!$L262),ISNUMBER('Lista de Preços'!$M262),'Lista de Preços'!$L262&gt;'Lista de Preços'!$M262),"ERRO","OK"),"")</f>
        <v/>
      </c>
      <c r="F273" s="27" t="str">
        <f aca="true">IF(COUNTA('Lista de Preços'!$A262:$W262)&gt;0,IF(AND('Lista de Preços'!$S262&lt;&gt;"",ISNUMBER('Lista de Preços'!$S262),'Lista de Preços'!$S262&lt;TODAY()),"ERRO","OK"),"")</f>
        <v/>
      </c>
      <c r="G273" s="27" t="str">
        <f aca="false">IF(COUNTA('Lista de Preços'!$A262:$W262)&gt;0,IF(AND('Lista de Preços'!$A262&lt;&gt;"",COUNTIF('Lista de Preços'!$A$4:$A$503,'Lista de Preços'!$A262)&gt;1),"ERRO","OK"),"")</f>
        <v/>
      </c>
      <c r="H273" s="27" t="str">
        <f aca="false">IF(COUNTA('Lista de Preços'!$A262:$W262)&gt;0,IF(AND('Lista de Preços'!$N262&lt;&gt;"",ISNUMBER('Lista de Preços'!$N262),OR('Lista de Preços'!$N262&lt;0,'Lista de Preços'!$N262&gt;0.5)),"ERRO","OK"),"")</f>
        <v/>
      </c>
      <c r="I273" s="27" t="str">
        <f aca="false">IF(COUNTA('Lista de Preços'!$A262:$W262)&gt;0,IF(OR($C273="ERRO",$D273="ERRO",$E273="ERRO",$F273="ERRO",$G273="ERRO",$H273="ERRO"),"FALHA","OK"),"")</f>
        <v/>
      </c>
    </row>
    <row r="274" customFormat="false" ht="15" hidden="false" customHeight="false" outlineLevel="0" collapsed="false">
      <c r="A274" s="26" t="n">
        <f aca="false">'Lista de Preços'!$A263</f>
        <v>0</v>
      </c>
      <c r="B274" s="26" t="n">
        <f aca="false">'Lista de Preços'!$B263</f>
        <v>0</v>
      </c>
      <c r="C274" s="27" t="str">
        <f aca="false">IF(COUNTA('Lista de Preços'!$A263:$W263)&gt;0,IF((COUNTBLANK('Lista de Preços'!$A263)+COUNTBLANK('Lista de Preços'!$B263)+COUNTBLANK('Lista de Preços'!$C263)+COUNTBLANK('Lista de Preços'!$D263)+COUNTBLANK('Lista de Preços'!$E263)+COUNTBLANK('Lista de Preços'!$F263)+COUNTBLANK('Lista de Preços'!$L263)+COUNTBLANK('Lista de Preços'!$M263)+COUNTBLANK('Lista de Preços'!$P263)+COUNTBLANK('Lista de Preços'!$U263)+COUNTBLANK('Lista de Preços'!$V263))&gt;0,"ERRO","OK"),"")</f>
        <v/>
      </c>
      <c r="D274" s="27" t="str">
        <f aca="false">IF(COUNTA('Lista de Preços'!$A263:$W263)&gt;0,IF(OR(AND('Lista de Preços'!$L263&lt;&gt;"",NOT(ISNUMBER('Lista de Preços'!$L263))),AND('Lista de Preços'!$M263&lt;&gt;"",NOT(ISNUMBER('Lista de Preços'!$M263)))),"ERRO","OK"),"")</f>
        <v/>
      </c>
      <c r="E274" s="27" t="str">
        <f aca="false">IF(COUNTA('Lista de Preços'!$A263:$W263)&gt;0,IF(AND(ISNUMBER('Lista de Preços'!$L263),ISNUMBER('Lista de Preços'!$M263),'Lista de Preços'!$L263&gt;'Lista de Preços'!$M263),"ERRO","OK"),"")</f>
        <v/>
      </c>
      <c r="F274" s="27" t="str">
        <f aca="true">IF(COUNTA('Lista de Preços'!$A263:$W263)&gt;0,IF(AND('Lista de Preços'!$S263&lt;&gt;"",ISNUMBER('Lista de Preços'!$S263),'Lista de Preços'!$S263&lt;TODAY()),"ERRO","OK"),"")</f>
        <v/>
      </c>
      <c r="G274" s="27" t="str">
        <f aca="false">IF(COUNTA('Lista de Preços'!$A263:$W263)&gt;0,IF(AND('Lista de Preços'!$A263&lt;&gt;"",COUNTIF('Lista de Preços'!$A$4:$A$503,'Lista de Preços'!$A263)&gt;1),"ERRO","OK"),"")</f>
        <v/>
      </c>
      <c r="H274" s="27" t="str">
        <f aca="false">IF(COUNTA('Lista de Preços'!$A263:$W263)&gt;0,IF(AND('Lista de Preços'!$N263&lt;&gt;"",ISNUMBER('Lista de Preços'!$N263),OR('Lista de Preços'!$N263&lt;0,'Lista de Preços'!$N263&gt;0.5)),"ERRO","OK"),"")</f>
        <v/>
      </c>
      <c r="I274" s="27" t="str">
        <f aca="false">IF(COUNTA('Lista de Preços'!$A263:$W263)&gt;0,IF(OR($C274="ERRO",$D274="ERRO",$E274="ERRO",$F274="ERRO",$G274="ERRO",$H274="ERRO"),"FALHA","OK"),"")</f>
        <v/>
      </c>
    </row>
    <row r="275" customFormat="false" ht="15" hidden="false" customHeight="false" outlineLevel="0" collapsed="false">
      <c r="A275" s="26" t="n">
        <f aca="false">'Lista de Preços'!$A264</f>
        <v>0</v>
      </c>
      <c r="B275" s="26" t="n">
        <f aca="false">'Lista de Preços'!$B264</f>
        <v>0</v>
      </c>
      <c r="C275" s="27" t="str">
        <f aca="false">IF(COUNTA('Lista de Preços'!$A264:$W264)&gt;0,IF((COUNTBLANK('Lista de Preços'!$A264)+COUNTBLANK('Lista de Preços'!$B264)+COUNTBLANK('Lista de Preços'!$C264)+COUNTBLANK('Lista de Preços'!$D264)+COUNTBLANK('Lista de Preços'!$E264)+COUNTBLANK('Lista de Preços'!$F264)+COUNTBLANK('Lista de Preços'!$L264)+COUNTBLANK('Lista de Preços'!$M264)+COUNTBLANK('Lista de Preços'!$P264)+COUNTBLANK('Lista de Preços'!$U264)+COUNTBLANK('Lista de Preços'!$V264))&gt;0,"ERRO","OK"),"")</f>
        <v/>
      </c>
      <c r="D275" s="27" t="str">
        <f aca="false">IF(COUNTA('Lista de Preços'!$A264:$W264)&gt;0,IF(OR(AND('Lista de Preços'!$L264&lt;&gt;"",NOT(ISNUMBER('Lista de Preços'!$L264))),AND('Lista de Preços'!$M264&lt;&gt;"",NOT(ISNUMBER('Lista de Preços'!$M264)))),"ERRO","OK"),"")</f>
        <v/>
      </c>
      <c r="E275" s="27" t="str">
        <f aca="false">IF(COUNTA('Lista de Preços'!$A264:$W264)&gt;0,IF(AND(ISNUMBER('Lista de Preços'!$L264),ISNUMBER('Lista de Preços'!$M264),'Lista de Preços'!$L264&gt;'Lista de Preços'!$M264),"ERRO","OK"),"")</f>
        <v/>
      </c>
      <c r="F275" s="27" t="str">
        <f aca="true">IF(COUNTA('Lista de Preços'!$A264:$W264)&gt;0,IF(AND('Lista de Preços'!$S264&lt;&gt;"",ISNUMBER('Lista de Preços'!$S264),'Lista de Preços'!$S264&lt;TODAY()),"ERRO","OK"),"")</f>
        <v/>
      </c>
      <c r="G275" s="27" t="str">
        <f aca="false">IF(COUNTA('Lista de Preços'!$A264:$W264)&gt;0,IF(AND('Lista de Preços'!$A264&lt;&gt;"",COUNTIF('Lista de Preços'!$A$4:$A$503,'Lista de Preços'!$A264)&gt;1),"ERRO","OK"),"")</f>
        <v/>
      </c>
      <c r="H275" s="27" t="str">
        <f aca="false">IF(COUNTA('Lista de Preços'!$A264:$W264)&gt;0,IF(AND('Lista de Preços'!$N264&lt;&gt;"",ISNUMBER('Lista de Preços'!$N264),OR('Lista de Preços'!$N264&lt;0,'Lista de Preços'!$N264&gt;0.5)),"ERRO","OK"),"")</f>
        <v/>
      </c>
      <c r="I275" s="27" t="str">
        <f aca="false">IF(COUNTA('Lista de Preços'!$A264:$W264)&gt;0,IF(OR($C275="ERRO",$D275="ERRO",$E275="ERRO",$F275="ERRO",$G275="ERRO",$H275="ERRO"),"FALHA","OK"),"")</f>
        <v/>
      </c>
    </row>
    <row r="276" customFormat="false" ht="15" hidden="false" customHeight="false" outlineLevel="0" collapsed="false">
      <c r="A276" s="26" t="n">
        <f aca="false">'Lista de Preços'!$A265</f>
        <v>0</v>
      </c>
      <c r="B276" s="26" t="n">
        <f aca="false">'Lista de Preços'!$B265</f>
        <v>0</v>
      </c>
      <c r="C276" s="27" t="str">
        <f aca="false">IF(COUNTA('Lista de Preços'!$A265:$W265)&gt;0,IF((COUNTBLANK('Lista de Preços'!$A265)+COUNTBLANK('Lista de Preços'!$B265)+COUNTBLANK('Lista de Preços'!$C265)+COUNTBLANK('Lista de Preços'!$D265)+COUNTBLANK('Lista de Preços'!$E265)+COUNTBLANK('Lista de Preços'!$F265)+COUNTBLANK('Lista de Preços'!$L265)+COUNTBLANK('Lista de Preços'!$M265)+COUNTBLANK('Lista de Preços'!$P265)+COUNTBLANK('Lista de Preços'!$U265)+COUNTBLANK('Lista de Preços'!$V265))&gt;0,"ERRO","OK"),"")</f>
        <v/>
      </c>
      <c r="D276" s="27" t="str">
        <f aca="false">IF(COUNTA('Lista de Preços'!$A265:$W265)&gt;0,IF(OR(AND('Lista de Preços'!$L265&lt;&gt;"",NOT(ISNUMBER('Lista de Preços'!$L265))),AND('Lista de Preços'!$M265&lt;&gt;"",NOT(ISNUMBER('Lista de Preços'!$M265)))),"ERRO","OK"),"")</f>
        <v/>
      </c>
      <c r="E276" s="27" t="str">
        <f aca="false">IF(COUNTA('Lista de Preços'!$A265:$W265)&gt;0,IF(AND(ISNUMBER('Lista de Preços'!$L265),ISNUMBER('Lista de Preços'!$M265),'Lista de Preços'!$L265&gt;'Lista de Preços'!$M265),"ERRO","OK"),"")</f>
        <v/>
      </c>
      <c r="F276" s="27" t="str">
        <f aca="true">IF(COUNTA('Lista de Preços'!$A265:$W265)&gt;0,IF(AND('Lista de Preços'!$S265&lt;&gt;"",ISNUMBER('Lista de Preços'!$S265),'Lista de Preços'!$S265&lt;TODAY()),"ERRO","OK"),"")</f>
        <v/>
      </c>
      <c r="G276" s="27" t="str">
        <f aca="false">IF(COUNTA('Lista de Preços'!$A265:$W265)&gt;0,IF(AND('Lista de Preços'!$A265&lt;&gt;"",COUNTIF('Lista de Preços'!$A$4:$A$503,'Lista de Preços'!$A265)&gt;1),"ERRO","OK"),"")</f>
        <v/>
      </c>
      <c r="H276" s="27" t="str">
        <f aca="false">IF(COUNTA('Lista de Preços'!$A265:$W265)&gt;0,IF(AND('Lista de Preços'!$N265&lt;&gt;"",ISNUMBER('Lista de Preços'!$N265),OR('Lista de Preços'!$N265&lt;0,'Lista de Preços'!$N265&gt;0.5)),"ERRO","OK"),"")</f>
        <v/>
      </c>
      <c r="I276" s="27" t="str">
        <f aca="false">IF(COUNTA('Lista de Preços'!$A265:$W265)&gt;0,IF(OR($C276="ERRO",$D276="ERRO",$E276="ERRO",$F276="ERRO",$G276="ERRO",$H276="ERRO"),"FALHA","OK"),"")</f>
        <v/>
      </c>
    </row>
    <row r="277" customFormat="false" ht="15" hidden="false" customHeight="false" outlineLevel="0" collapsed="false">
      <c r="A277" s="26" t="n">
        <f aca="false">'Lista de Preços'!$A266</f>
        <v>0</v>
      </c>
      <c r="B277" s="26" t="n">
        <f aca="false">'Lista de Preços'!$B266</f>
        <v>0</v>
      </c>
      <c r="C277" s="27" t="str">
        <f aca="false">IF(COUNTA('Lista de Preços'!$A266:$W266)&gt;0,IF((COUNTBLANK('Lista de Preços'!$A266)+COUNTBLANK('Lista de Preços'!$B266)+COUNTBLANK('Lista de Preços'!$C266)+COUNTBLANK('Lista de Preços'!$D266)+COUNTBLANK('Lista de Preços'!$E266)+COUNTBLANK('Lista de Preços'!$F266)+COUNTBLANK('Lista de Preços'!$L266)+COUNTBLANK('Lista de Preços'!$M266)+COUNTBLANK('Lista de Preços'!$P266)+COUNTBLANK('Lista de Preços'!$U266)+COUNTBLANK('Lista de Preços'!$V266))&gt;0,"ERRO","OK"),"")</f>
        <v/>
      </c>
      <c r="D277" s="27" t="str">
        <f aca="false">IF(COUNTA('Lista de Preços'!$A266:$W266)&gt;0,IF(OR(AND('Lista de Preços'!$L266&lt;&gt;"",NOT(ISNUMBER('Lista de Preços'!$L266))),AND('Lista de Preços'!$M266&lt;&gt;"",NOT(ISNUMBER('Lista de Preços'!$M266)))),"ERRO","OK"),"")</f>
        <v/>
      </c>
      <c r="E277" s="27" t="str">
        <f aca="false">IF(COUNTA('Lista de Preços'!$A266:$W266)&gt;0,IF(AND(ISNUMBER('Lista de Preços'!$L266),ISNUMBER('Lista de Preços'!$M266),'Lista de Preços'!$L266&gt;'Lista de Preços'!$M266),"ERRO","OK"),"")</f>
        <v/>
      </c>
      <c r="F277" s="27" t="str">
        <f aca="true">IF(COUNTA('Lista de Preços'!$A266:$W266)&gt;0,IF(AND('Lista de Preços'!$S266&lt;&gt;"",ISNUMBER('Lista de Preços'!$S266),'Lista de Preços'!$S266&lt;TODAY()),"ERRO","OK"),"")</f>
        <v/>
      </c>
      <c r="G277" s="27" t="str">
        <f aca="false">IF(COUNTA('Lista de Preços'!$A266:$W266)&gt;0,IF(AND('Lista de Preços'!$A266&lt;&gt;"",COUNTIF('Lista de Preços'!$A$4:$A$503,'Lista de Preços'!$A266)&gt;1),"ERRO","OK"),"")</f>
        <v/>
      </c>
      <c r="H277" s="27" t="str">
        <f aca="false">IF(COUNTA('Lista de Preços'!$A266:$W266)&gt;0,IF(AND('Lista de Preços'!$N266&lt;&gt;"",ISNUMBER('Lista de Preços'!$N266),OR('Lista de Preços'!$N266&lt;0,'Lista de Preços'!$N266&gt;0.5)),"ERRO","OK"),"")</f>
        <v/>
      </c>
      <c r="I277" s="27" t="str">
        <f aca="false">IF(COUNTA('Lista de Preços'!$A266:$W266)&gt;0,IF(OR($C277="ERRO",$D277="ERRO",$E277="ERRO",$F277="ERRO",$G277="ERRO",$H277="ERRO"),"FALHA","OK"),"")</f>
        <v/>
      </c>
    </row>
    <row r="278" customFormat="false" ht="15" hidden="false" customHeight="false" outlineLevel="0" collapsed="false">
      <c r="A278" s="26" t="n">
        <f aca="false">'Lista de Preços'!$A267</f>
        <v>0</v>
      </c>
      <c r="B278" s="26" t="n">
        <f aca="false">'Lista de Preços'!$B267</f>
        <v>0</v>
      </c>
      <c r="C278" s="27" t="str">
        <f aca="false">IF(COUNTA('Lista de Preços'!$A267:$W267)&gt;0,IF((COUNTBLANK('Lista de Preços'!$A267)+COUNTBLANK('Lista de Preços'!$B267)+COUNTBLANK('Lista de Preços'!$C267)+COUNTBLANK('Lista de Preços'!$D267)+COUNTBLANK('Lista de Preços'!$E267)+COUNTBLANK('Lista de Preços'!$F267)+COUNTBLANK('Lista de Preços'!$L267)+COUNTBLANK('Lista de Preços'!$M267)+COUNTBLANK('Lista de Preços'!$P267)+COUNTBLANK('Lista de Preços'!$U267)+COUNTBLANK('Lista de Preços'!$V267))&gt;0,"ERRO","OK"),"")</f>
        <v/>
      </c>
      <c r="D278" s="27" t="str">
        <f aca="false">IF(COUNTA('Lista de Preços'!$A267:$W267)&gt;0,IF(OR(AND('Lista de Preços'!$L267&lt;&gt;"",NOT(ISNUMBER('Lista de Preços'!$L267))),AND('Lista de Preços'!$M267&lt;&gt;"",NOT(ISNUMBER('Lista de Preços'!$M267)))),"ERRO","OK"),"")</f>
        <v/>
      </c>
      <c r="E278" s="27" t="str">
        <f aca="false">IF(COUNTA('Lista de Preços'!$A267:$W267)&gt;0,IF(AND(ISNUMBER('Lista de Preços'!$L267),ISNUMBER('Lista de Preços'!$M267),'Lista de Preços'!$L267&gt;'Lista de Preços'!$M267),"ERRO","OK"),"")</f>
        <v/>
      </c>
      <c r="F278" s="27" t="str">
        <f aca="true">IF(COUNTA('Lista de Preços'!$A267:$W267)&gt;0,IF(AND('Lista de Preços'!$S267&lt;&gt;"",ISNUMBER('Lista de Preços'!$S267),'Lista de Preços'!$S267&lt;TODAY()),"ERRO","OK"),"")</f>
        <v/>
      </c>
      <c r="G278" s="27" t="str">
        <f aca="false">IF(COUNTA('Lista de Preços'!$A267:$W267)&gt;0,IF(AND('Lista de Preços'!$A267&lt;&gt;"",COUNTIF('Lista de Preços'!$A$4:$A$503,'Lista de Preços'!$A267)&gt;1),"ERRO","OK"),"")</f>
        <v/>
      </c>
      <c r="H278" s="27" t="str">
        <f aca="false">IF(COUNTA('Lista de Preços'!$A267:$W267)&gt;0,IF(AND('Lista de Preços'!$N267&lt;&gt;"",ISNUMBER('Lista de Preços'!$N267),OR('Lista de Preços'!$N267&lt;0,'Lista de Preços'!$N267&gt;0.5)),"ERRO","OK"),"")</f>
        <v/>
      </c>
      <c r="I278" s="27" t="str">
        <f aca="false">IF(COUNTA('Lista de Preços'!$A267:$W267)&gt;0,IF(OR($C278="ERRO",$D278="ERRO",$E278="ERRO",$F278="ERRO",$G278="ERRO",$H278="ERRO"),"FALHA","OK"),"")</f>
        <v/>
      </c>
    </row>
    <row r="279" customFormat="false" ht="15" hidden="false" customHeight="false" outlineLevel="0" collapsed="false">
      <c r="A279" s="26" t="n">
        <f aca="false">'Lista de Preços'!$A268</f>
        <v>0</v>
      </c>
      <c r="B279" s="26" t="n">
        <f aca="false">'Lista de Preços'!$B268</f>
        <v>0</v>
      </c>
      <c r="C279" s="27" t="str">
        <f aca="false">IF(COUNTA('Lista de Preços'!$A268:$W268)&gt;0,IF((COUNTBLANK('Lista de Preços'!$A268)+COUNTBLANK('Lista de Preços'!$B268)+COUNTBLANK('Lista de Preços'!$C268)+COUNTBLANK('Lista de Preços'!$D268)+COUNTBLANK('Lista de Preços'!$E268)+COUNTBLANK('Lista de Preços'!$F268)+COUNTBLANK('Lista de Preços'!$L268)+COUNTBLANK('Lista de Preços'!$M268)+COUNTBLANK('Lista de Preços'!$P268)+COUNTBLANK('Lista de Preços'!$U268)+COUNTBLANK('Lista de Preços'!$V268))&gt;0,"ERRO","OK"),"")</f>
        <v/>
      </c>
      <c r="D279" s="27" t="str">
        <f aca="false">IF(COUNTA('Lista de Preços'!$A268:$W268)&gt;0,IF(OR(AND('Lista de Preços'!$L268&lt;&gt;"",NOT(ISNUMBER('Lista de Preços'!$L268))),AND('Lista de Preços'!$M268&lt;&gt;"",NOT(ISNUMBER('Lista de Preços'!$M268)))),"ERRO","OK"),"")</f>
        <v/>
      </c>
      <c r="E279" s="27" t="str">
        <f aca="false">IF(COUNTA('Lista de Preços'!$A268:$W268)&gt;0,IF(AND(ISNUMBER('Lista de Preços'!$L268),ISNUMBER('Lista de Preços'!$M268),'Lista de Preços'!$L268&gt;'Lista de Preços'!$M268),"ERRO","OK"),"")</f>
        <v/>
      </c>
      <c r="F279" s="27" t="str">
        <f aca="true">IF(COUNTA('Lista de Preços'!$A268:$W268)&gt;0,IF(AND('Lista de Preços'!$S268&lt;&gt;"",ISNUMBER('Lista de Preços'!$S268),'Lista de Preços'!$S268&lt;TODAY()),"ERRO","OK"),"")</f>
        <v/>
      </c>
      <c r="G279" s="27" t="str">
        <f aca="false">IF(COUNTA('Lista de Preços'!$A268:$W268)&gt;0,IF(AND('Lista de Preços'!$A268&lt;&gt;"",COUNTIF('Lista de Preços'!$A$4:$A$503,'Lista de Preços'!$A268)&gt;1),"ERRO","OK"),"")</f>
        <v/>
      </c>
      <c r="H279" s="27" t="str">
        <f aca="false">IF(COUNTA('Lista de Preços'!$A268:$W268)&gt;0,IF(AND('Lista de Preços'!$N268&lt;&gt;"",ISNUMBER('Lista de Preços'!$N268),OR('Lista de Preços'!$N268&lt;0,'Lista de Preços'!$N268&gt;0.5)),"ERRO","OK"),"")</f>
        <v/>
      </c>
      <c r="I279" s="27" t="str">
        <f aca="false">IF(COUNTA('Lista de Preços'!$A268:$W268)&gt;0,IF(OR($C279="ERRO",$D279="ERRO",$E279="ERRO",$F279="ERRO",$G279="ERRO",$H279="ERRO"),"FALHA","OK"),"")</f>
        <v/>
      </c>
    </row>
    <row r="280" customFormat="false" ht="15" hidden="false" customHeight="false" outlineLevel="0" collapsed="false">
      <c r="A280" s="26" t="n">
        <f aca="false">'Lista de Preços'!$A269</f>
        <v>0</v>
      </c>
      <c r="B280" s="26" t="n">
        <f aca="false">'Lista de Preços'!$B269</f>
        <v>0</v>
      </c>
      <c r="C280" s="27" t="str">
        <f aca="false">IF(COUNTA('Lista de Preços'!$A269:$W269)&gt;0,IF((COUNTBLANK('Lista de Preços'!$A269)+COUNTBLANK('Lista de Preços'!$B269)+COUNTBLANK('Lista de Preços'!$C269)+COUNTBLANK('Lista de Preços'!$D269)+COUNTBLANK('Lista de Preços'!$E269)+COUNTBLANK('Lista de Preços'!$F269)+COUNTBLANK('Lista de Preços'!$L269)+COUNTBLANK('Lista de Preços'!$M269)+COUNTBLANK('Lista de Preços'!$P269)+COUNTBLANK('Lista de Preços'!$U269)+COUNTBLANK('Lista de Preços'!$V269))&gt;0,"ERRO","OK"),"")</f>
        <v/>
      </c>
      <c r="D280" s="27" t="str">
        <f aca="false">IF(COUNTA('Lista de Preços'!$A269:$W269)&gt;0,IF(OR(AND('Lista de Preços'!$L269&lt;&gt;"",NOT(ISNUMBER('Lista de Preços'!$L269))),AND('Lista de Preços'!$M269&lt;&gt;"",NOT(ISNUMBER('Lista de Preços'!$M269)))),"ERRO","OK"),"")</f>
        <v/>
      </c>
      <c r="E280" s="27" t="str">
        <f aca="false">IF(COUNTA('Lista de Preços'!$A269:$W269)&gt;0,IF(AND(ISNUMBER('Lista de Preços'!$L269),ISNUMBER('Lista de Preços'!$M269),'Lista de Preços'!$L269&gt;'Lista de Preços'!$M269),"ERRO","OK"),"")</f>
        <v/>
      </c>
      <c r="F280" s="27" t="str">
        <f aca="true">IF(COUNTA('Lista de Preços'!$A269:$W269)&gt;0,IF(AND('Lista de Preços'!$S269&lt;&gt;"",ISNUMBER('Lista de Preços'!$S269),'Lista de Preços'!$S269&lt;TODAY()),"ERRO","OK"),"")</f>
        <v/>
      </c>
      <c r="G280" s="27" t="str">
        <f aca="false">IF(COUNTA('Lista de Preços'!$A269:$W269)&gt;0,IF(AND('Lista de Preços'!$A269&lt;&gt;"",COUNTIF('Lista de Preços'!$A$4:$A$503,'Lista de Preços'!$A269)&gt;1),"ERRO","OK"),"")</f>
        <v/>
      </c>
      <c r="H280" s="27" t="str">
        <f aca="false">IF(COUNTA('Lista de Preços'!$A269:$W269)&gt;0,IF(AND('Lista de Preços'!$N269&lt;&gt;"",ISNUMBER('Lista de Preços'!$N269),OR('Lista de Preços'!$N269&lt;0,'Lista de Preços'!$N269&gt;0.5)),"ERRO","OK"),"")</f>
        <v/>
      </c>
      <c r="I280" s="27" t="str">
        <f aca="false">IF(COUNTA('Lista de Preços'!$A269:$W269)&gt;0,IF(OR($C280="ERRO",$D280="ERRO",$E280="ERRO",$F280="ERRO",$G280="ERRO",$H280="ERRO"),"FALHA","OK"),"")</f>
        <v/>
      </c>
    </row>
    <row r="281" customFormat="false" ht="15" hidden="false" customHeight="false" outlineLevel="0" collapsed="false">
      <c r="A281" s="26" t="n">
        <f aca="false">'Lista de Preços'!$A270</f>
        <v>0</v>
      </c>
      <c r="B281" s="26" t="n">
        <f aca="false">'Lista de Preços'!$B270</f>
        <v>0</v>
      </c>
      <c r="C281" s="27" t="str">
        <f aca="false">IF(COUNTA('Lista de Preços'!$A270:$W270)&gt;0,IF((COUNTBLANK('Lista de Preços'!$A270)+COUNTBLANK('Lista de Preços'!$B270)+COUNTBLANK('Lista de Preços'!$C270)+COUNTBLANK('Lista de Preços'!$D270)+COUNTBLANK('Lista de Preços'!$E270)+COUNTBLANK('Lista de Preços'!$F270)+COUNTBLANK('Lista de Preços'!$L270)+COUNTBLANK('Lista de Preços'!$M270)+COUNTBLANK('Lista de Preços'!$P270)+COUNTBLANK('Lista de Preços'!$U270)+COUNTBLANK('Lista de Preços'!$V270))&gt;0,"ERRO","OK"),"")</f>
        <v/>
      </c>
      <c r="D281" s="27" t="str">
        <f aca="false">IF(COUNTA('Lista de Preços'!$A270:$W270)&gt;0,IF(OR(AND('Lista de Preços'!$L270&lt;&gt;"",NOT(ISNUMBER('Lista de Preços'!$L270))),AND('Lista de Preços'!$M270&lt;&gt;"",NOT(ISNUMBER('Lista de Preços'!$M270)))),"ERRO","OK"),"")</f>
        <v/>
      </c>
      <c r="E281" s="27" t="str">
        <f aca="false">IF(COUNTA('Lista de Preços'!$A270:$W270)&gt;0,IF(AND(ISNUMBER('Lista de Preços'!$L270),ISNUMBER('Lista de Preços'!$M270),'Lista de Preços'!$L270&gt;'Lista de Preços'!$M270),"ERRO","OK"),"")</f>
        <v/>
      </c>
      <c r="F281" s="27" t="str">
        <f aca="true">IF(COUNTA('Lista de Preços'!$A270:$W270)&gt;0,IF(AND('Lista de Preços'!$S270&lt;&gt;"",ISNUMBER('Lista de Preços'!$S270),'Lista de Preços'!$S270&lt;TODAY()),"ERRO","OK"),"")</f>
        <v/>
      </c>
      <c r="G281" s="27" t="str">
        <f aca="false">IF(COUNTA('Lista de Preços'!$A270:$W270)&gt;0,IF(AND('Lista de Preços'!$A270&lt;&gt;"",COUNTIF('Lista de Preços'!$A$4:$A$503,'Lista de Preços'!$A270)&gt;1),"ERRO","OK"),"")</f>
        <v/>
      </c>
      <c r="H281" s="27" t="str">
        <f aca="false">IF(COUNTA('Lista de Preços'!$A270:$W270)&gt;0,IF(AND('Lista de Preços'!$N270&lt;&gt;"",ISNUMBER('Lista de Preços'!$N270),OR('Lista de Preços'!$N270&lt;0,'Lista de Preços'!$N270&gt;0.5)),"ERRO","OK"),"")</f>
        <v/>
      </c>
      <c r="I281" s="27" t="str">
        <f aca="false">IF(COUNTA('Lista de Preços'!$A270:$W270)&gt;0,IF(OR($C281="ERRO",$D281="ERRO",$E281="ERRO",$F281="ERRO",$G281="ERRO",$H281="ERRO"),"FALHA","OK"),"")</f>
        <v/>
      </c>
    </row>
    <row r="282" customFormat="false" ht="15" hidden="false" customHeight="false" outlineLevel="0" collapsed="false">
      <c r="A282" s="26" t="n">
        <f aca="false">'Lista de Preços'!$A271</f>
        <v>0</v>
      </c>
      <c r="B282" s="26" t="n">
        <f aca="false">'Lista de Preços'!$B271</f>
        <v>0</v>
      </c>
      <c r="C282" s="27" t="str">
        <f aca="false">IF(COUNTA('Lista de Preços'!$A271:$W271)&gt;0,IF((COUNTBLANK('Lista de Preços'!$A271)+COUNTBLANK('Lista de Preços'!$B271)+COUNTBLANK('Lista de Preços'!$C271)+COUNTBLANK('Lista de Preços'!$D271)+COUNTBLANK('Lista de Preços'!$E271)+COUNTBLANK('Lista de Preços'!$F271)+COUNTBLANK('Lista de Preços'!$L271)+COUNTBLANK('Lista de Preços'!$M271)+COUNTBLANK('Lista de Preços'!$P271)+COUNTBLANK('Lista de Preços'!$U271)+COUNTBLANK('Lista de Preços'!$V271))&gt;0,"ERRO","OK"),"")</f>
        <v/>
      </c>
      <c r="D282" s="27" t="str">
        <f aca="false">IF(COUNTA('Lista de Preços'!$A271:$W271)&gt;0,IF(OR(AND('Lista de Preços'!$L271&lt;&gt;"",NOT(ISNUMBER('Lista de Preços'!$L271))),AND('Lista de Preços'!$M271&lt;&gt;"",NOT(ISNUMBER('Lista de Preços'!$M271)))),"ERRO","OK"),"")</f>
        <v/>
      </c>
      <c r="E282" s="27" t="str">
        <f aca="false">IF(COUNTA('Lista de Preços'!$A271:$W271)&gt;0,IF(AND(ISNUMBER('Lista de Preços'!$L271),ISNUMBER('Lista de Preços'!$M271),'Lista de Preços'!$L271&gt;'Lista de Preços'!$M271),"ERRO","OK"),"")</f>
        <v/>
      </c>
      <c r="F282" s="27" t="str">
        <f aca="true">IF(COUNTA('Lista de Preços'!$A271:$W271)&gt;0,IF(AND('Lista de Preços'!$S271&lt;&gt;"",ISNUMBER('Lista de Preços'!$S271),'Lista de Preços'!$S271&lt;TODAY()),"ERRO","OK"),"")</f>
        <v/>
      </c>
      <c r="G282" s="27" t="str">
        <f aca="false">IF(COUNTA('Lista de Preços'!$A271:$W271)&gt;0,IF(AND('Lista de Preços'!$A271&lt;&gt;"",COUNTIF('Lista de Preços'!$A$4:$A$503,'Lista de Preços'!$A271)&gt;1),"ERRO","OK"),"")</f>
        <v/>
      </c>
      <c r="H282" s="27" t="str">
        <f aca="false">IF(COUNTA('Lista de Preços'!$A271:$W271)&gt;0,IF(AND('Lista de Preços'!$N271&lt;&gt;"",ISNUMBER('Lista de Preços'!$N271),OR('Lista de Preços'!$N271&lt;0,'Lista de Preços'!$N271&gt;0.5)),"ERRO","OK"),"")</f>
        <v/>
      </c>
      <c r="I282" s="27" t="str">
        <f aca="false">IF(COUNTA('Lista de Preços'!$A271:$W271)&gt;0,IF(OR($C282="ERRO",$D282="ERRO",$E282="ERRO",$F282="ERRO",$G282="ERRO",$H282="ERRO"),"FALHA","OK"),"")</f>
        <v/>
      </c>
    </row>
    <row r="283" customFormat="false" ht="15" hidden="false" customHeight="false" outlineLevel="0" collapsed="false">
      <c r="A283" s="26" t="n">
        <f aca="false">'Lista de Preços'!$A272</f>
        <v>0</v>
      </c>
      <c r="B283" s="26" t="n">
        <f aca="false">'Lista de Preços'!$B272</f>
        <v>0</v>
      </c>
      <c r="C283" s="27" t="str">
        <f aca="false">IF(COUNTA('Lista de Preços'!$A272:$W272)&gt;0,IF((COUNTBLANK('Lista de Preços'!$A272)+COUNTBLANK('Lista de Preços'!$B272)+COUNTBLANK('Lista de Preços'!$C272)+COUNTBLANK('Lista de Preços'!$D272)+COUNTBLANK('Lista de Preços'!$E272)+COUNTBLANK('Lista de Preços'!$F272)+COUNTBLANK('Lista de Preços'!$L272)+COUNTBLANK('Lista de Preços'!$M272)+COUNTBLANK('Lista de Preços'!$P272)+COUNTBLANK('Lista de Preços'!$U272)+COUNTBLANK('Lista de Preços'!$V272))&gt;0,"ERRO","OK"),"")</f>
        <v/>
      </c>
      <c r="D283" s="27" t="str">
        <f aca="false">IF(COUNTA('Lista de Preços'!$A272:$W272)&gt;0,IF(OR(AND('Lista de Preços'!$L272&lt;&gt;"",NOT(ISNUMBER('Lista de Preços'!$L272))),AND('Lista de Preços'!$M272&lt;&gt;"",NOT(ISNUMBER('Lista de Preços'!$M272)))),"ERRO","OK"),"")</f>
        <v/>
      </c>
      <c r="E283" s="27" t="str">
        <f aca="false">IF(COUNTA('Lista de Preços'!$A272:$W272)&gt;0,IF(AND(ISNUMBER('Lista de Preços'!$L272),ISNUMBER('Lista de Preços'!$M272),'Lista de Preços'!$L272&gt;'Lista de Preços'!$M272),"ERRO","OK"),"")</f>
        <v/>
      </c>
      <c r="F283" s="27" t="str">
        <f aca="true">IF(COUNTA('Lista de Preços'!$A272:$W272)&gt;0,IF(AND('Lista de Preços'!$S272&lt;&gt;"",ISNUMBER('Lista de Preços'!$S272),'Lista de Preços'!$S272&lt;TODAY()),"ERRO","OK"),"")</f>
        <v/>
      </c>
      <c r="G283" s="27" t="str">
        <f aca="false">IF(COUNTA('Lista de Preços'!$A272:$W272)&gt;0,IF(AND('Lista de Preços'!$A272&lt;&gt;"",COUNTIF('Lista de Preços'!$A$4:$A$503,'Lista de Preços'!$A272)&gt;1),"ERRO","OK"),"")</f>
        <v/>
      </c>
      <c r="H283" s="27" t="str">
        <f aca="false">IF(COUNTA('Lista de Preços'!$A272:$W272)&gt;0,IF(AND('Lista de Preços'!$N272&lt;&gt;"",ISNUMBER('Lista de Preços'!$N272),OR('Lista de Preços'!$N272&lt;0,'Lista de Preços'!$N272&gt;0.5)),"ERRO","OK"),"")</f>
        <v/>
      </c>
      <c r="I283" s="27" t="str">
        <f aca="false">IF(COUNTA('Lista de Preços'!$A272:$W272)&gt;0,IF(OR($C283="ERRO",$D283="ERRO",$E283="ERRO",$F283="ERRO",$G283="ERRO",$H283="ERRO"),"FALHA","OK"),"")</f>
        <v/>
      </c>
    </row>
    <row r="284" customFormat="false" ht="15" hidden="false" customHeight="false" outlineLevel="0" collapsed="false">
      <c r="A284" s="26" t="n">
        <f aca="false">'Lista de Preços'!$A273</f>
        <v>0</v>
      </c>
      <c r="B284" s="26" t="n">
        <f aca="false">'Lista de Preços'!$B273</f>
        <v>0</v>
      </c>
      <c r="C284" s="27" t="str">
        <f aca="false">IF(COUNTA('Lista de Preços'!$A273:$W273)&gt;0,IF((COUNTBLANK('Lista de Preços'!$A273)+COUNTBLANK('Lista de Preços'!$B273)+COUNTBLANK('Lista de Preços'!$C273)+COUNTBLANK('Lista de Preços'!$D273)+COUNTBLANK('Lista de Preços'!$E273)+COUNTBLANK('Lista de Preços'!$F273)+COUNTBLANK('Lista de Preços'!$L273)+COUNTBLANK('Lista de Preços'!$M273)+COUNTBLANK('Lista de Preços'!$P273)+COUNTBLANK('Lista de Preços'!$U273)+COUNTBLANK('Lista de Preços'!$V273))&gt;0,"ERRO","OK"),"")</f>
        <v/>
      </c>
      <c r="D284" s="27" t="str">
        <f aca="false">IF(COUNTA('Lista de Preços'!$A273:$W273)&gt;0,IF(OR(AND('Lista de Preços'!$L273&lt;&gt;"",NOT(ISNUMBER('Lista de Preços'!$L273))),AND('Lista de Preços'!$M273&lt;&gt;"",NOT(ISNUMBER('Lista de Preços'!$M273)))),"ERRO","OK"),"")</f>
        <v/>
      </c>
      <c r="E284" s="27" t="str">
        <f aca="false">IF(COUNTA('Lista de Preços'!$A273:$W273)&gt;0,IF(AND(ISNUMBER('Lista de Preços'!$L273),ISNUMBER('Lista de Preços'!$M273),'Lista de Preços'!$L273&gt;'Lista de Preços'!$M273),"ERRO","OK"),"")</f>
        <v/>
      </c>
      <c r="F284" s="27" t="str">
        <f aca="true">IF(COUNTA('Lista de Preços'!$A273:$W273)&gt;0,IF(AND('Lista de Preços'!$S273&lt;&gt;"",ISNUMBER('Lista de Preços'!$S273),'Lista de Preços'!$S273&lt;TODAY()),"ERRO","OK"),"")</f>
        <v/>
      </c>
      <c r="G284" s="27" t="str">
        <f aca="false">IF(COUNTA('Lista de Preços'!$A273:$W273)&gt;0,IF(AND('Lista de Preços'!$A273&lt;&gt;"",COUNTIF('Lista de Preços'!$A$4:$A$503,'Lista de Preços'!$A273)&gt;1),"ERRO","OK"),"")</f>
        <v/>
      </c>
      <c r="H284" s="27" t="str">
        <f aca="false">IF(COUNTA('Lista de Preços'!$A273:$W273)&gt;0,IF(AND('Lista de Preços'!$N273&lt;&gt;"",ISNUMBER('Lista de Preços'!$N273),OR('Lista de Preços'!$N273&lt;0,'Lista de Preços'!$N273&gt;0.5)),"ERRO","OK"),"")</f>
        <v/>
      </c>
      <c r="I284" s="27" t="str">
        <f aca="false">IF(COUNTA('Lista de Preços'!$A273:$W273)&gt;0,IF(OR($C284="ERRO",$D284="ERRO",$E284="ERRO",$F284="ERRO",$G284="ERRO",$H284="ERRO"),"FALHA","OK"),"")</f>
        <v/>
      </c>
    </row>
    <row r="285" customFormat="false" ht="15" hidden="false" customHeight="false" outlineLevel="0" collapsed="false">
      <c r="A285" s="26" t="n">
        <f aca="false">'Lista de Preços'!$A274</f>
        <v>0</v>
      </c>
      <c r="B285" s="26" t="n">
        <f aca="false">'Lista de Preços'!$B274</f>
        <v>0</v>
      </c>
      <c r="C285" s="27" t="str">
        <f aca="false">IF(COUNTA('Lista de Preços'!$A274:$W274)&gt;0,IF((COUNTBLANK('Lista de Preços'!$A274)+COUNTBLANK('Lista de Preços'!$B274)+COUNTBLANK('Lista de Preços'!$C274)+COUNTBLANK('Lista de Preços'!$D274)+COUNTBLANK('Lista de Preços'!$E274)+COUNTBLANK('Lista de Preços'!$F274)+COUNTBLANK('Lista de Preços'!$L274)+COUNTBLANK('Lista de Preços'!$M274)+COUNTBLANK('Lista de Preços'!$P274)+COUNTBLANK('Lista de Preços'!$U274)+COUNTBLANK('Lista de Preços'!$V274))&gt;0,"ERRO","OK"),"")</f>
        <v/>
      </c>
      <c r="D285" s="27" t="str">
        <f aca="false">IF(COUNTA('Lista de Preços'!$A274:$W274)&gt;0,IF(OR(AND('Lista de Preços'!$L274&lt;&gt;"",NOT(ISNUMBER('Lista de Preços'!$L274))),AND('Lista de Preços'!$M274&lt;&gt;"",NOT(ISNUMBER('Lista de Preços'!$M274)))),"ERRO","OK"),"")</f>
        <v/>
      </c>
      <c r="E285" s="27" t="str">
        <f aca="false">IF(COUNTA('Lista de Preços'!$A274:$W274)&gt;0,IF(AND(ISNUMBER('Lista de Preços'!$L274),ISNUMBER('Lista de Preços'!$M274),'Lista de Preços'!$L274&gt;'Lista de Preços'!$M274),"ERRO","OK"),"")</f>
        <v/>
      </c>
      <c r="F285" s="27" t="str">
        <f aca="true">IF(COUNTA('Lista de Preços'!$A274:$W274)&gt;0,IF(AND('Lista de Preços'!$S274&lt;&gt;"",ISNUMBER('Lista de Preços'!$S274),'Lista de Preços'!$S274&lt;TODAY()),"ERRO","OK"),"")</f>
        <v/>
      </c>
      <c r="G285" s="27" t="str">
        <f aca="false">IF(COUNTA('Lista de Preços'!$A274:$W274)&gt;0,IF(AND('Lista de Preços'!$A274&lt;&gt;"",COUNTIF('Lista de Preços'!$A$4:$A$503,'Lista de Preços'!$A274)&gt;1),"ERRO","OK"),"")</f>
        <v/>
      </c>
      <c r="H285" s="27" t="str">
        <f aca="false">IF(COUNTA('Lista de Preços'!$A274:$W274)&gt;0,IF(AND('Lista de Preços'!$N274&lt;&gt;"",ISNUMBER('Lista de Preços'!$N274),OR('Lista de Preços'!$N274&lt;0,'Lista de Preços'!$N274&gt;0.5)),"ERRO","OK"),"")</f>
        <v/>
      </c>
      <c r="I285" s="27" t="str">
        <f aca="false">IF(COUNTA('Lista de Preços'!$A274:$W274)&gt;0,IF(OR($C285="ERRO",$D285="ERRO",$E285="ERRO",$F285="ERRO",$G285="ERRO",$H285="ERRO"),"FALHA","OK"),"")</f>
        <v/>
      </c>
    </row>
    <row r="286" customFormat="false" ht="15" hidden="false" customHeight="false" outlineLevel="0" collapsed="false">
      <c r="A286" s="26" t="n">
        <f aca="false">'Lista de Preços'!$A275</f>
        <v>0</v>
      </c>
      <c r="B286" s="26" t="n">
        <f aca="false">'Lista de Preços'!$B275</f>
        <v>0</v>
      </c>
      <c r="C286" s="27" t="str">
        <f aca="false">IF(COUNTA('Lista de Preços'!$A275:$W275)&gt;0,IF((COUNTBLANK('Lista de Preços'!$A275)+COUNTBLANK('Lista de Preços'!$B275)+COUNTBLANK('Lista de Preços'!$C275)+COUNTBLANK('Lista de Preços'!$D275)+COUNTBLANK('Lista de Preços'!$E275)+COUNTBLANK('Lista de Preços'!$F275)+COUNTBLANK('Lista de Preços'!$L275)+COUNTBLANK('Lista de Preços'!$M275)+COUNTBLANK('Lista de Preços'!$P275)+COUNTBLANK('Lista de Preços'!$U275)+COUNTBLANK('Lista de Preços'!$V275))&gt;0,"ERRO","OK"),"")</f>
        <v/>
      </c>
      <c r="D286" s="27" t="str">
        <f aca="false">IF(COUNTA('Lista de Preços'!$A275:$W275)&gt;0,IF(OR(AND('Lista de Preços'!$L275&lt;&gt;"",NOT(ISNUMBER('Lista de Preços'!$L275))),AND('Lista de Preços'!$M275&lt;&gt;"",NOT(ISNUMBER('Lista de Preços'!$M275)))),"ERRO","OK"),"")</f>
        <v/>
      </c>
      <c r="E286" s="27" t="str">
        <f aca="false">IF(COUNTA('Lista de Preços'!$A275:$W275)&gt;0,IF(AND(ISNUMBER('Lista de Preços'!$L275),ISNUMBER('Lista de Preços'!$M275),'Lista de Preços'!$L275&gt;'Lista de Preços'!$M275),"ERRO","OK"),"")</f>
        <v/>
      </c>
      <c r="F286" s="27" t="str">
        <f aca="true">IF(COUNTA('Lista de Preços'!$A275:$W275)&gt;0,IF(AND('Lista de Preços'!$S275&lt;&gt;"",ISNUMBER('Lista de Preços'!$S275),'Lista de Preços'!$S275&lt;TODAY()),"ERRO","OK"),"")</f>
        <v/>
      </c>
      <c r="G286" s="27" t="str">
        <f aca="false">IF(COUNTA('Lista de Preços'!$A275:$W275)&gt;0,IF(AND('Lista de Preços'!$A275&lt;&gt;"",COUNTIF('Lista de Preços'!$A$4:$A$503,'Lista de Preços'!$A275)&gt;1),"ERRO","OK"),"")</f>
        <v/>
      </c>
      <c r="H286" s="27" t="str">
        <f aca="false">IF(COUNTA('Lista de Preços'!$A275:$W275)&gt;0,IF(AND('Lista de Preços'!$N275&lt;&gt;"",ISNUMBER('Lista de Preços'!$N275),OR('Lista de Preços'!$N275&lt;0,'Lista de Preços'!$N275&gt;0.5)),"ERRO","OK"),"")</f>
        <v/>
      </c>
      <c r="I286" s="27" t="str">
        <f aca="false">IF(COUNTA('Lista de Preços'!$A275:$W275)&gt;0,IF(OR($C286="ERRO",$D286="ERRO",$E286="ERRO",$F286="ERRO",$G286="ERRO",$H286="ERRO"),"FALHA","OK"),"")</f>
        <v/>
      </c>
    </row>
    <row r="287" customFormat="false" ht="15" hidden="false" customHeight="false" outlineLevel="0" collapsed="false">
      <c r="A287" s="26" t="n">
        <f aca="false">'Lista de Preços'!$A276</f>
        <v>0</v>
      </c>
      <c r="B287" s="26" t="n">
        <f aca="false">'Lista de Preços'!$B276</f>
        <v>0</v>
      </c>
      <c r="C287" s="27" t="str">
        <f aca="false">IF(COUNTA('Lista de Preços'!$A276:$W276)&gt;0,IF((COUNTBLANK('Lista de Preços'!$A276)+COUNTBLANK('Lista de Preços'!$B276)+COUNTBLANK('Lista de Preços'!$C276)+COUNTBLANK('Lista de Preços'!$D276)+COUNTBLANK('Lista de Preços'!$E276)+COUNTBLANK('Lista de Preços'!$F276)+COUNTBLANK('Lista de Preços'!$L276)+COUNTBLANK('Lista de Preços'!$M276)+COUNTBLANK('Lista de Preços'!$P276)+COUNTBLANK('Lista de Preços'!$U276)+COUNTBLANK('Lista de Preços'!$V276))&gt;0,"ERRO","OK"),"")</f>
        <v/>
      </c>
      <c r="D287" s="27" t="str">
        <f aca="false">IF(COUNTA('Lista de Preços'!$A276:$W276)&gt;0,IF(OR(AND('Lista de Preços'!$L276&lt;&gt;"",NOT(ISNUMBER('Lista de Preços'!$L276))),AND('Lista de Preços'!$M276&lt;&gt;"",NOT(ISNUMBER('Lista de Preços'!$M276)))),"ERRO","OK"),"")</f>
        <v/>
      </c>
      <c r="E287" s="27" t="str">
        <f aca="false">IF(COUNTA('Lista de Preços'!$A276:$W276)&gt;0,IF(AND(ISNUMBER('Lista de Preços'!$L276),ISNUMBER('Lista de Preços'!$M276),'Lista de Preços'!$L276&gt;'Lista de Preços'!$M276),"ERRO","OK"),"")</f>
        <v/>
      </c>
      <c r="F287" s="27" t="str">
        <f aca="true">IF(COUNTA('Lista de Preços'!$A276:$W276)&gt;0,IF(AND('Lista de Preços'!$S276&lt;&gt;"",ISNUMBER('Lista de Preços'!$S276),'Lista de Preços'!$S276&lt;TODAY()),"ERRO","OK"),"")</f>
        <v/>
      </c>
      <c r="G287" s="27" t="str">
        <f aca="false">IF(COUNTA('Lista de Preços'!$A276:$W276)&gt;0,IF(AND('Lista de Preços'!$A276&lt;&gt;"",COUNTIF('Lista de Preços'!$A$4:$A$503,'Lista de Preços'!$A276)&gt;1),"ERRO","OK"),"")</f>
        <v/>
      </c>
      <c r="H287" s="27" t="str">
        <f aca="false">IF(COUNTA('Lista de Preços'!$A276:$W276)&gt;0,IF(AND('Lista de Preços'!$N276&lt;&gt;"",ISNUMBER('Lista de Preços'!$N276),OR('Lista de Preços'!$N276&lt;0,'Lista de Preços'!$N276&gt;0.5)),"ERRO","OK"),"")</f>
        <v/>
      </c>
      <c r="I287" s="27" t="str">
        <f aca="false">IF(COUNTA('Lista de Preços'!$A276:$W276)&gt;0,IF(OR($C287="ERRO",$D287="ERRO",$E287="ERRO",$F287="ERRO",$G287="ERRO",$H287="ERRO"),"FALHA","OK"),"")</f>
        <v/>
      </c>
    </row>
    <row r="288" customFormat="false" ht="15" hidden="false" customHeight="false" outlineLevel="0" collapsed="false">
      <c r="A288" s="26" t="n">
        <f aca="false">'Lista de Preços'!$A277</f>
        <v>0</v>
      </c>
      <c r="B288" s="26" t="n">
        <f aca="false">'Lista de Preços'!$B277</f>
        <v>0</v>
      </c>
      <c r="C288" s="27" t="str">
        <f aca="false">IF(COUNTA('Lista de Preços'!$A277:$W277)&gt;0,IF((COUNTBLANK('Lista de Preços'!$A277)+COUNTBLANK('Lista de Preços'!$B277)+COUNTBLANK('Lista de Preços'!$C277)+COUNTBLANK('Lista de Preços'!$D277)+COUNTBLANK('Lista de Preços'!$E277)+COUNTBLANK('Lista de Preços'!$F277)+COUNTBLANK('Lista de Preços'!$L277)+COUNTBLANK('Lista de Preços'!$M277)+COUNTBLANK('Lista de Preços'!$P277)+COUNTBLANK('Lista de Preços'!$U277)+COUNTBLANK('Lista de Preços'!$V277))&gt;0,"ERRO","OK"),"")</f>
        <v/>
      </c>
      <c r="D288" s="27" t="str">
        <f aca="false">IF(COUNTA('Lista de Preços'!$A277:$W277)&gt;0,IF(OR(AND('Lista de Preços'!$L277&lt;&gt;"",NOT(ISNUMBER('Lista de Preços'!$L277))),AND('Lista de Preços'!$M277&lt;&gt;"",NOT(ISNUMBER('Lista de Preços'!$M277)))),"ERRO","OK"),"")</f>
        <v/>
      </c>
      <c r="E288" s="27" t="str">
        <f aca="false">IF(COUNTA('Lista de Preços'!$A277:$W277)&gt;0,IF(AND(ISNUMBER('Lista de Preços'!$L277),ISNUMBER('Lista de Preços'!$M277),'Lista de Preços'!$L277&gt;'Lista de Preços'!$M277),"ERRO","OK"),"")</f>
        <v/>
      </c>
      <c r="F288" s="27" t="str">
        <f aca="true">IF(COUNTA('Lista de Preços'!$A277:$W277)&gt;0,IF(AND('Lista de Preços'!$S277&lt;&gt;"",ISNUMBER('Lista de Preços'!$S277),'Lista de Preços'!$S277&lt;TODAY()),"ERRO","OK"),"")</f>
        <v/>
      </c>
      <c r="G288" s="27" t="str">
        <f aca="false">IF(COUNTA('Lista de Preços'!$A277:$W277)&gt;0,IF(AND('Lista de Preços'!$A277&lt;&gt;"",COUNTIF('Lista de Preços'!$A$4:$A$503,'Lista de Preços'!$A277)&gt;1),"ERRO","OK"),"")</f>
        <v/>
      </c>
      <c r="H288" s="27" t="str">
        <f aca="false">IF(COUNTA('Lista de Preços'!$A277:$W277)&gt;0,IF(AND('Lista de Preços'!$N277&lt;&gt;"",ISNUMBER('Lista de Preços'!$N277),OR('Lista de Preços'!$N277&lt;0,'Lista de Preços'!$N277&gt;0.5)),"ERRO","OK"),"")</f>
        <v/>
      </c>
      <c r="I288" s="27" t="str">
        <f aca="false">IF(COUNTA('Lista de Preços'!$A277:$W277)&gt;0,IF(OR($C288="ERRO",$D288="ERRO",$E288="ERRO",$F288="ERRO",$G288="ERRO",$H288="ERRO"),"FALHA","OK"),"")</f>
        <v/>
      </c>
    </row>
    <row r="289" customFormat="false" ht="15" hidden="false" customHeight="false" outlineLevel="0" collapsed="false">
      <c r="A289" s="26" t="n">
        <f aca="false">'Lista de Preços'!$A278</f>
        <v>0</v>
      </c>
      <c r="B289" s="26" t="n">
        <f aca="false">'Lista de Preços'!$B278</f>
        <v>0</v>
      </c>
      <c r="C289" s="27" t="str">
        <f aca="false">IF(COUNTA('Lista de Preços'!$A278:$W278)&gt;0,IF((COUNTBLANK('Lista de Preços'!$A278)+COUNTBLANK('Lista de Preços'!$B278)+COUNTBLANK('Lista de Preços'!$C278)+COUNTBLANK('Lista de Preços'!$D278)+COUNTBLANK('Lista de Preços'!$E278)+COUNTBLANK('Lista de Preços'!$F278)+COUNTBLANK('Lista de Preços'!$L278)+COUNTBLANK('Lista de Preços'!$M278)+COUNTBLANK('Lista de Preços'!$P278)+COUNTBLANK('Lista de Preços'!$U278)+COUNTBLANK('Lista de Preços'!$V278))&gt;0,"ERRO","OK"),"")</f>
        <v/>
      </c>
      <c r="D289" s="27" t="str">
        <f aca="false">IF(COUNTA('Lista de Preços'!$A278:$W278)&gt;0,IF(OR(AND('Lista de Preços'!$L278&lt;&gt;"",NOT(ISNUMBER('Lista de Preços'!$L278))),AND('Lista de Preços'!$M278&lt;&gt;"",NOT(ISNUMBER('Lista de Preços'!$M278)))),"ERRO","OK"),"")</f>
        <v/>
      </c>
      <c r="E289" s="27" t="str">
        <f aca="false">IF(COUNTA('Lista de Preços'!$A278:$W278)&gt;0,IF(AND(ISNUMBER('Lista de Preços'!$L278),ISNUMBER('Lista de Preços'!$M278),'Lista de Preços'!$L278&gt;'Lista de Preços'!$M278),"ERRO","OK"),"")</f>
        <v/>
      </c>
      <c r="F289" s="27" t="str">
        <f aca="true">IF(COUNTA('Lista de Preços'!$A278:$W278)&gt;0,IF(AND('Lista de Preços'!$S278&lt;&gt;"",ISNUMBER('Lista de Preços'!$S278),'Lista de Preços'!$S278&lt;TODAY()),"ERRO","OK"),"")</f>
        <v/>
      </c>
      <c r="G289" s="27" t="str">
        <f aca="false">IF(COUNTA('Lista de Preços'!$A278:$W278)&gt;0,IF(AND('Lista de Preços'!$A278&lt;&gt;"",COUNTIF('Lista de Preços'!$A$4:$A$503,'Lista de Preços'!$A278)&gt;1),"ERRO","OK"),"")</f>
        <v/>
      </c>
      <c r="H289" s="27" t="str">
        <f aca="false">IF(COUNTA('Lista de Preços'!$A278:$W278)&gt;0,IF(AND('Lista de Preços'!$N278&lt;&gt;"",ISNUMBER('Lista de Preços'!$N278),OR('Lista de Preços'!$N278&lt;0,'Lista de Preços'!$N278&gt;0.5)),"ERRO","OK"),"")</f>
        <v/>
      </c>
      <c r="I289" s="27" t="str">
        <f aca="false">IF(COUNTA('Lista de Preços'!$A278:$W278)&gt;0,IF(OR($C289="ERRO",$D289="ERRO",$E289="ERRO",$F289="ERRO",$G289="ERRO",$H289="ERRO"),"FALHA","OK"),"")</f>
        <v/>
      </c>
    </row>
    <row r="290" customFormat="false" ht="15" hidden="false" customHeight="false" outlineLevel="0" collapsed="false">
      <c r="A290" s="26" t="n">
        <f aca="false">'Lista de Preços'!$A279</f>
        <v>0</v>
      </c>
      <c r="B290" s="26" t="n">
        <f aca="false">'Lista de Preços'!$B279</f>
        <v>0</v>
      </c>
      <c r="C290" s="27" t="str">
        <f aca="false">IF(COUNTA('Lista de Preços'!$A279:$W279)&gt;0,IF((COUNTBLANK('Lista de Preços'!$A279)+COUNTBLANK('Lista de Preços'!$B279)+COUNTBLANK('Lista de Preços'!$C279)+COUNTBLANK('Lista de Preços'!$D279)+COUNTBLANK('Lista de Preços'!$E279)+COUNTBLANK('Lista de Preços'!$F279)+COUNTBLANK('Lista de Preços'!$L279)+COUNTBLANK('Lista de Preços'!$M279)+COUNTBLANK('Lista de Preços'!$P279)+COUNTBLANK('Lista de Preços'!$U279)+COUNTBLANK('Lista de Preços'!$V279))&gt;0,"ERRO","OK"),"")</f>
        <v/>
      </c>
      <c r="D290" s="27" t="str">
        <f aca="false">IF(COUNTA('Lista de Preços'!$A279:$W279)&gt;0,IF(OR(AND('Lista de Preços'!$L279&lt;&gt;"",NOT(ISNUMBER('Lista de Preços'!$L279))),AND('Lista de Preços'!$M279&lt;&gt;"",NOT(ISNUMBER('Lista de Preços'!$M279)))),"ERRO","OK"),"")</f>
        <v/>
      </c>
      <c r="E290" s="27" t="str">
        <f aca="false">IF(COUNTA('Lista de Preços'!$A279:$W279)&gt;0,IF(AND(ISNUMBER('Lista de Preços'!$L279),ISNUMBER('Lista de Preços'!$M279),'Lista de Preços'!$L279&gt;'Lista de Preços'!$M279),"ERRO","OK"),"")</f>
        <v/>
      </c>
      <c r="F290" s="27" t="str">
        <f aca="true">IF(COUNTA('Lista de Preços'!$A279:$W279)&gt;0,IF(AND('Lista de Preços'!$S279&lt;&gt;"",ISNUMBER('Lista de Preços'!$S279),'Lista de Preços'!$S279&lt;TODAY()),"ERRO","OK"),"")</f>
        <v/>
      </c>
      <c r="G290" s="27" t="str">
        <f aca="false">IF(COUNTA('Lista de Preços'!$A279:$W279)&gt;0,IF(AND('Lista de Preços'!$A279&lt;&gt;"",COUNTIF('Lista de Preços'!$A$4:$A$503,'Lista de Preços'!$A279)&gt;1),"ERRO","OK"),"")</f>
        <v/>
      </c>
      <c r="H290" s="27" t="str">
        <f aca="false">IF(COUNTA('Lista de Preços'!$A279:$W279)&gt;0,IF(AND('Lista de Preços'!$N279&lt;&gt;"",ISNUMBER('Lista de Preços'!$N279),OR('Lista de Preços'!$N279&lt;0,'Lista de Preços'!$N279&gt;0.5)),"ERRO","OK"),"")</f>
        <v/>
      </c>
      <c r="I290" s="27" t="str">
        <f aca="false">IF(COUNTA('Lista de Preços'!$A279:$W279)&gt;0,IF(OR($C290="ERRO",$D290="ERRO",$E290="ERRO",$F290="ERRO",$G290="ERRO",$H290="ERRO"),"FALHA","OK"),"")</f>
        <v/>
      </c>
    </row>
    <row r="291" customFormat="false" ht="15" hidden="false" customHeight="false" outlineLevel="0" collapsed="false">
      <c r="A291" s="26" t="n">
        <f aca="false">'Lista de Preços'!$A280</f>
        <v>0</v>
      </c>
      <c r="B291" s="26" t="n">
        <f aca="false">'Lista de Preços'!$B280</f>
        <v>0</v>
      </c>
      <c r="C291" s="27" t="str">
        <f aca="false">IF(COUNTA('Lista de Preços'!$A280:$W280)&gt;0,IF((COUNTBLANK('Lista de Preços'!$A280)+COUNTBLANK('Lista de Preços'!$B280)+COUNTBLANK('Lista de Preços'!$C280)+COUNTBLANK('Lista de Preços'!$D280)+COUNTBLANK('Lista de Preços'!$E280)+COUNTBLANK('Lista de Preços'!$F280)+COUNTBLANK('Lista de Preços'!$L280)+COUNTBLANK('Lista de Preços'!$M280)+COUNTBLANK('Lista de Preços'!$P280)+COUNTBLANK('Lista de Preços'!$U280)+COUNTBLANK('Lista de Preços'!$V280))&gt;0,"ERRO","OK"),"")</f>
        <v/>
      </c>
      <c r="D291" s="27" t="str">
        <f aca="false">IF(COUNTA('Lista de Preços'!$A280:$W280)&gt;0,IF(OR(AND('Lista de Preços'!$L280&lt;&gt;"",NOT(ISNUMBER('Lista de Preços'!$L280))),AND('Lista de Preços'!$M280&lt;&gt;"",NOT(ISNUMBER('Lista de Preços'!$M280)))),"ERRO","OK"),"")</f>
        <v/>
      </c>
      <c r="E291" s="27" t="str">
        <f aca="false">IF(COUNTA('Lista de Preços'!$A280:$W280)&gt;0,IF(AND(ISNUMBER('Lista de Preços'!$L280),ISNUMBER('Lista de Preços'!$M280),'Lista de Preços'!$L280&gt;'Lista de Preços'!$M280),"ERRO","OK"),"")</f>
        <v/>
      </c>
      <c r="F291" s="27" t="str">
        <f aca="true">IF(COUNTA('Lista de Preços'!$A280:$W280)&gt;0,IF(AND('Lista de Preços'!$S280&lt;&gt;"",ISNUMBER('Lista de Preços'!$S280),'Lista de Preços'!$S280&lt;TODAY()),"ERRO","OK"),"")</f>
        <v/>
      </c>
      <c r="G291" s="27" t="str">
        <f aca="false">IF(COUNTA('Lista de Preços'!$A280:$W280)&gt;0,IF(AND('Lista de Preços'!$A280&lt;&gt;"",COUNTIF('Lista de Preços'!$A$4:$A$503,'Lista de Preços'!$A280)&gt;1),"ERRO","OK"),"")</f>
        <v/>
      </c>
      <c r="H291" s="27" t="str">
        <f aca="false">IF(COUNTA('Lista de Preços'!$A280:$W280)&gt;0,IF(AND('Lista de Preços'!$N280&lt;&gt;"",ISNUMBER('Lista de Preços'!$N280),OR('Lista de Preços'!$N280&lt;0,'Lista de Preços'!$N280&gt;0.5)),"ERRO","OK"),"")</f>
        <v/>
      </c>
      <c r="I291" s="27" t="str">
        <f aca="false">IF(COUNTA('Lista de Preços'!$A280:$W280)&gt;0,IF(OR($C291="ERRO",$D291="ERRO",$E291="ERRO",$F291="ERRO",$G291="ERRO",$H291="ERRO"),"FALHA","OK"),"")</f>
        <v/>
      </c>
    </row>
    <row r="292" customFormat="false" ht="15" hidden="false" customHeight="false" outlineLevel="0" collapsed="false">
      <c r="A292" s="26" t="n">
        <f aca="false">'Lista de Preços'!$A281</f>
        <v>0</v>
      </c>
      <c r="B292" s="26" t="n">
        <f aca="false">'Lista de Preços'!$B281</f>
        <v>0</v>
      </c>
      <c r="C292" s="27" t="str">
        <f aca="false">IF(COUNTA('Lista de Preços'!$A281:$W281)&gt;0,IF((COUNTBLANK('Lista de Preços'!$A281)+COUNTBLANK('Lista de Preços'!$B281)+COUNTBLANK('Lista de Preços'!$C281)+COUNTBLANK('Lista de Preços'!$D281)+COUNTBLANK('Lista de Preços'!$E281)+COUNTBLANK('Lista de Preços'!$F281)+COUNTBLANK('Lista de Preços'!$L281)+COUNTBLANK('Lista de Preços'!$M281)+COUNTBLANK('Lista de Preços'!$P281)+COUNTBLANK('Lista de Preços'!$U281)+COUNTBLANK('Lista de Preços'!$V281))&gt;0,"ERRO","OK"),"")</f>
        <v/>
      </c>
      <c r="D292" s="27" t="str">
        <f aca="false">IF(COUNTA('Lista de Preços'!$A281:$W281)&gt;0,IF(OR(AND('Lista de Preços'!$L281&lt;&gt;"",NOT(ISNUMBER('Lista de Preços'!$L281))),AND('Lista de Preços'!$M281&lt;&gt;"",NOT(ISNUMBER('Lista de Preços'!$M281)))),"ERRO","OK"),"")</f>
        <v/>
      </c>
      <c r="E292" s="27" t="str">
        <f aca="false">IF(COUNTA('Lista de Preços'!$A281:$W281)&gt;0,IF(AND(ISNUMBER('Lista de Preços'!$L281),ISNUMBER('Lista de Preços'!$M281),'Lista de Preços'!$L281&gt;'Lista de Preços'!$M281),"ERRO","OK"),"")</f>
        <v/>
      </c>
      <c r="F292" s="27" t="str">
        <f aca="true">IF(COUNTA('Lista de Preços'!$A281:$W281)&gt;0,IF(AND('Lista de Preços'!$S281&lt;&gt;"",ISNUMBER('Lista de Preços'!$S281),'Lista de Preços'!$S281&lt;TODAY()),"ERRO","OK"),"")</f>
        <v/>
      </c>
      <c r="G292" s="27" t="str">
        <f aca="false">IF(COUNTA('Lista de Preços'!$A281:$W281)&gt;0,IF(AND('Lista de Preços'!$A281&lt;&gt;"",COUNTIF('Lista de Preços'!$A$4:$A$503,'Lista de Preços'!$A281)&gt;1),"ERRO","OK"),"")</f>
        <v/>
      </c>
      <c r="H292" s="27" t="str">
        <f aca="false">IF(COUNTA('Lista de Preços'!$A281:$W281)&gt;0,IF(AND('Lista de Preços'!$N281&lt;&gt;"",ISNUMBER('Lista de Preços'!$N281),OR('Lista de Preços'!$N281&lt;0,'Lista de Preços'!$N281&gt;0.5)),"ERRO","OK"),"")</f>
        <v/>
      </c>
      <c r="I292" s="27" t="str">
        <f aca="false">IF(COUNTA('Lista de Preços'!$A281:$W281)&gt;0,IF(OR($C292="ERRO",$D292="ERRO",$E292="ERRO",$F292="ERRO",$G292="ERRO",$H292="ERRO"),"FALHA","OK"),"")</f>
        <v/>
      </c>
    </row>
    <row r="293" customFormat="false" ht="15" hidden="false" customHeight="false" outlineLevel="0" collapsed="false">
      <c r="A293" s="26" t="n">
        <f aca="false">'Lista de Preços'!$A282</f>
        <v>0</v>
      </c>
      <c r="B293" s="26" t="n">
        <f aca="false">'Lista de Preços'!$B282</f>
        <v>0</v>
      </c>
      <c r="C293" s="27" t="str">
        <f aca="false">IF(COUNTA('Lista de Preços'!$A282:$W282)&gt;0,IF((COUNTBLANK('Lista de Preços'!$A282)+COUNTBLANK('Lista de Preços'!$B282)+COUNTBLANK('Lista de Preços'!$C282)+COUNTBLANK('Lista de Preços'!$D282)+COUNTBLANK('Lista de Preços'!$E282)+COUNTBLANK('Lista de Preços'!$F282)+COUNTBLANK('Lista de Preços'!$L282)+COUNTBLANK('Lista de Preços'!$M282)+COUNTBLANK('Lista de Preços'!$P282)+COUNTBLANK('Lista de Preços'!$U282)+COUNTBLANK('Lista de Preços'!$V282))&gt;0,"ERRO","OK"),"")</f>
        <v/>
      </c>
      <c r="D293" s="27" t="str">
        <f aca="false">IF(COUNTA('Lista de Preços'!$A282:$W282)&gt;0,IF(OR(AND('Lista de Preços'!$L282&lt;&gt;"",NOT(ISNUMBER('Lista de Preços'!$L282))),AND('Lista de Preços'!$M282&lt;&gt;"",NOT(ISNUMBER('Lista de Preços'!$M282)))),"ERRO","OK"),"")</f>
        <v/>
      </c>
      <c r="E293" s="27" t="str">
        <f aca="false">IF(COUNTA('Lista de Preços'!$A282:$W282)&gt;0,IF(AND(ISNUMBER('Lista de Preços'!$L282),ISNUMBER('Lista de Preços'!$M282),'Lista de Preços'!$L282&gt;'Lista de Preços'!$M282),"ERRO","OK"),"")</f>
        <v/>
      </c>
      <c r="F293" s="27" t="str">
        <f aca="true">IF(COUNTA('Lista de Preços'!$A282:$W282)&gt;0,IF(AND('Lista de Preços'!$S282&lt;&gt;"",ISNUMBER('Lista de Preços'!$S282),'Lista de Preços'!$S282&lt;TODAY()),"ERRO","OK"),"")</f>
        <v/>
      </c>
      <c r="G293" s="27" t="str">
        <f aca="false">IF(COUNTA('Lista de Preços'!$A282:$W282)&gt;0,IF(AND('Lista de Preços'!$A282&lt;&gt;"",COUNTIF('Lista de Preços'!$A$4:$A$503,'Lista de Preços'!$A282)&gt;1),"ERRO","OK"),"")</f>
        <v/>
      </c>
      <c r="H293" s="27" t="str">
        <f aca="false">IF(COUNTA('Lista de Preços'!$A282:$W282)&gt;0,IF(AND('Lista de Preços'!$N282&lt;&gt;"",ISNUMBER('Lista de Preços'!$N282),OR('Lista de Preços'!$N282&lt;0,'Lista de Preços'!$N282&gt;0.5)),"ERRO","OK"),"")</f>
        <v/>
      </c>
      <c r="I293" s="27" t="str">
        <f aca="false">IF(COUNTA('Lista de Preços'!$A282:$W282)&gt;0,IF(OR($C293="ERRO",$D293="ERRO",$E293="ERRO",$F293="ERRO",$G293="ERRO",$H293="ERRO"),"FALHA","OK"),"")</f>
        <v/>
      </c>
    </row>
    <row r="294" customFormat="false" ht="15" hidden="false" customHeight="false" outlineLevel="0" collapsed="false">
      <c r="A294" s="26" t="n">
        <f aca="false">'Lista de Preços'!$A283</f>
        <v>0</v>
      </c>
      <c r="B294" s="26" t="n">
        <f aca="false">'Lista de Preços'!$B283</f>
        <v>0</v>
      </c>
      <c r="C294" s="27" t="str">
        <f aca="false">IF(COUNTA('Lista de Preços'!$A283:$W283)&gt;0,IF((COUNTBLANK('Lista de Preços'!$A283)+COUNTBLANK('Lista de Preços'!$B283)+COUNTBLANK('Lista de Preços'!$C283)+COUNTBLANK('Lista de Preços'!$D283)+COUNTBLANK('Lista de Preços'!$E283)+COUNTBLANK('Lista de Preços'!$F283)+COUNTBLANK('Lista de Preços'!$L283)+COUNTBLANK('Lista de Preços'!$M283)+COUNTBLANK('Lista de Preços'!$P283)+COUNTBLANK('Lista de Preços'!$U283)+COUNTBLANK('Lista de Preços'!$V283))&gt;0,"ERRO","OK"),"")</f>
        <v/>
      </c>
      <c r="D294" s="27" t="str">
        <f aca="false">IF(COUNTA('Lista de Preços'!$A283:$W283)&gt;0,IF(OR(AND('Lista de Preços'!$L283&lt;&gt;"",NOT(ISNUMBER('Lista de Preços'!$L283))),AND('Lista de Preços'!$M283&lt;&gt;"",NOT(ISNUMBER('Lista de Preços'!$M283)))),"ERRO","OK"),"")</f>
        <v/>
      </c>
      <c r="E294" s="27" t="str">
        <f aca="false">IF(COUNTA('Lista de Preços'!$A283:$W283)&gt;0,IF(AND(ISNUMBER('Lista de Preços'!$L283),ISNUMBER('Lista de Preços'!$M283),'Lista de Preços'!$L283&gt;'Lista de Preços'!$M283),"ERRO","OK"),"")</f>
        <v/>
      </c>
      <c r="F294" s="27" t="str">
        <f aca="true">IF(COUNTA('Lista de Preços'!$A283:$W283)&gt;0,IF(AND('Lista de Preços'!$S283&lt;&gt;"",ISNUMBER('Lista de Preços'!$S283),'Lista de Preços'!$S283&lt;TODAY()),"ERRO","OK"),"")</f>
        <v/>
      </c>
      <c r="G294" s="27" t="str">
        <f aca="false">IF(COUNTA('Lista de Preços'!$A283:$W283)&gt;0,IF(AND('Lista de Preços'!$A283&lt;&gt;"",COUNTIF('Lista de Preços'!$A$4:$A$503,'Lista de Preços'!$A283)&gt;1),"ERRO","OK"),"")</f>
        <v/>
      </c>
      <c r="H294" s="27" t="str">
        <f aca="false">IF(COUNTA('Lista de Preços'!$A283:$W283)&gt;0,IF(AND('Lista de Preços'!$N283&lt;&gt;"",ISNUMBER('Lista de Preços'!$N283),OR('Lista de Preços'!$N283&lt;0,'Lista de Preços'!$N283&gt;0.5)),"ERRO","OK"),"")</f>
        <v/>
      </c>
      <c r="I294" s="27" t="str">
        <f aca="false">IF(COUNTA('Lista de Preços'!$A283:$W283)&gt;0,IF(OR($C294="ERRO",$D294="ERRO",$E294="ERRO",$F294="ERRO",$G294="ERRO",$H294="ERRO"),"FALHA","OK"),"")</f>
        <v/>
      </c>
    </row>
    <row r="295" customFormat="false" ht="15" hidden="false" customHeight="false" outlineLevel="0" collapsed="false">
      <c r="A295" s="26" t="n">
        <f aca="false">'Lista de Preços'!$A284</f>
        <v>0</v>
      </c>
      <c r="B295" s="26" t="n">
        <f aca="false">'Lista de Preços'!$B284</f>
        <v>0</v>
      </c>
      <c r="C295" s="27" t="str">
        <f aca="false">IF(COUNTA('Lista de Preços'!$A284:$W284)&gt;0,IF((COUNTBLANK('Lista de Preços'!$A284)+COUNTBLANK('Lista de Preços'!$B284)+COUNTBLANK('Lista de Preços'!$C284)+COUNTBLANK('Lista de Preços'!$D284)+COUNTBLANK('Lista de Preços'!$E284)+COUNTBLANK('Lista de Preços'!$F284)+COUNTBLANK('Lista de Preços'!$L284)+COUNTBLANK('Lista de Preços'!$M284)+COUNTBLANK('Lista de Preços'!$P284)+COUNTBLANK('Lista de Preços'!$U284)+COUNTBLANK('Lista de Preços'!$V284))&gt;0,"ERRO","OK"),"")</f>
        <v/>
      </c>
      <c r="D295" s="27" t="str">
        <f aca="false">IF(COUNTA('Lista de Preços'!$A284:$W284)&gt;0,IF(OR(AND('Lista de Preços'!$L284&lt;&gt;"",NOT(ISNUMBER('Lista de Preços'!$L284))),AND('Lista de Preços'!$M284&lt;&gt;"",NOT(ISNUMBER('Lista de Preços'!$M284)))),"ERRO","OK"),"")</f>
        <v/>
      </c>
      <c r="E295" s="27" t="str">
        <f aca="false">IF(COUNTA('Lista de Preços'!$A284:$W284)&gt;0,IF(AND(ISNUMBER('Lista de Preços'!$L284),ISNUMBER('Lista de Preços'!$M284),'Lista de Preços'!$L284&gt;'Lista de Preços'!$M284),"ERRO","OK"),"")</f>
        <v/>
      </c>
      <c r="F295" s="27" t="str">
        <f aca="true">IF(COUNTA('Lista de Preços'!$A284:$W284)&gt;0,IF(AND('Lista de Preços'!$S284&lt;&gt;"",ISNUMBER('Lista de Preços'!$S284),'Lista de Preços'!$S284&lt;TODAY()),"ERRO","OK"),"")</f>
        <v/>
      </c>
      <c r="G295" s="27" t="str">
        <f aca="false">IF(COUNTA('Lista de Preços'!$A284:$W284)&gt;0,IF(AND('Lista de Preços'!$A284&lt;&gt;"",COUNTIF('Lista de Preços'!$A$4:$A$503,'Lista de Preços'!$A284)&gt;1),"ERRO","OK"),"")</f>
        <v/>
      </c>
      <c r="H295" s="27" t="str">
        <f aca="false">IF(COUNTA('Lista de Preços'!$A284:$W284)&gt;0,IF(AND('Lista de Preços'!$N284&lt;&gt;"",ISNUMBER('Lista de Preços'!$N284),OR('Lista de Preços'!$N284&lt;0,'Lista de Preços'!$N284&gt;0.5)),"ERRO","OK"),"")</f>
        <v/>
      </c>
      <c r="I295" s="27" t="str">
        <f aca="false">IF(COUNTA('Lista de Preços'!$A284:$W284)&gt;0,IF(OR($C295="ERRO",$D295="ERRO",$E295="ERRO",$F295="ERRO",$G295="ERRO",$H295="ERRO"),"FALHA","OK"),"")</f>
        <v/>
      </c>
    </row>
    <row r="296" customFormat="false" ht="15" hidden="false" customHeight="false" outlineLevel="0" collapsed="false">
      <c r="A296" s="26" t="n">
        <f aca="false">'Lista de Preços'!$A285</f>
        <v>0</v>
      </c>
      <c r="B296" s="26" t="n">
        <f aca="false">'Lista de Preços'!$B285</f>
        <v>0</v>
      </c>
      <c r="C296" s="27" t="str">
        <f aca="false">IF(COUNTA('Lista de Preços'!$A285:$W285)&gt;0,IF((COUNTBLANK('Lista de Preços'!$A285)+COUNTBLANK('Lista de Preços'!$B285)+COUNTBLANK('Lista de Preços'!$C285)+COUNTBLANK('Lista de Preços'!$D285)+COUNTBLANK('Lista de Preços'!$E285)+COUNTBLANK('Lista de Preços'!$F285)+COUNTBLANK('Lista de Preços'!$L285)+COUNTBLANK('Lista de Preços'!$M285)+COUNTBLANK('Lista de Preços'!$P285)+COUNTBLANK('Lista de Preços'!$U285)+COUNTBLANK('Lista de Preços'!$V285))&gt;0,"ERRO","OK"),"")</f>
        <v/>
      </c>
      <c r="D296" s="27" t="str">
        <f aca="false">IF(COUNTA('Lista de Preços'!$A285:$W285)&gt;0,IF(OR(AND('Lista de Preços'!$L285&lt;&gt;"",NOT(ISNUMBER('Lista de Preços'!$L285))),AND('Lista de Preços'!$M285&lt;&gt;"",NOT(ISNUMBER('Lista de Preços'!$M285)))),"ERRO","OK"),"")</f>
        <v/>
      </c>
      <c r="E296" s="27" t="str">
        <f aca="false">IF(COUNTA('Lista de Preços'!$A285:$W285)&gt;0,IF(AND(ISNUMBER('Lista de Preços'!$L285),ISNUMBER('Lista de Preços'!$M285),'Lista de Preços'!$L285&gt;'Lista de Preços'!$M285),"ERRO","OK"),"")</f>
        <v/>
      </c>
      <c r="F296" s="27" t="str">
        <f aca="true">IF(COUNTA('Lista de Preços'!$A285:$W285)&gt;0,IF(AND('Lista de Preços'!$S285&lt;&gt;"",ISNUMBER('Lista de Preços'!$S285),'Lista de Preços'!$S285&lt;TODAY()),"ERRO","OK"),"")</f>
        <v/>
      </c>
      <c r="G296" s="27" t="str">
        <f aca="false">IF(COUNTA('Lista de Preços'!$A285:$W285)&gt;0,IF(AND('Lista de Preços'!$A285&lt;&gt;"",COUNTIF('Lista de Preços'!$A$4:$A$503,'Lista de Preços'!$A285)&gt;1),"ERRO","OK"),"")</f>
        <v/>
      </c>
      <c r="H296" s="27" t="str">
        <f aca="false">IF(COUNTA('Lista de Preços'!$A285:$W285)&gt;0,IF(AND('Lista de Preços'!$N285&lt;&gt;"",ISNUMBER('Lista de Preços'!$N285),OR('Lista de Preços'!$N285&lt;0,'Lista de Preços'!$N285&gt;0.5)),"ERRO","OK"),"")</f>
        <v/>
      </c>
      <c r="I296" s="27" t="str">
        <f aca="false">IF(COUNTA('Lista de Preços'!$A285:$W285)&gt;0,IF(OR($C296="ERRO",$D296="ERRO",$E296="ERRO",$F296="ERRO",$G296="ERRO",$H296="ERRO"),"FALHA","OK"),"")</f>
        <v/>
      </c>
    </row>
    <row r="297" customFormat="false" ht="15" hidden="false" customHeight="false" outlineLevel="0" collapsed="false">
      <c r="A297" s="26" t="n">
        <f aca="false">'Lista de Preços'!$A286</f>
        <v>0</v>
      </c>
      <c r="B297" s="26" t="n">
        <f aca="false">'Lista de Preços'!$B286</f>
        <v>0</v>
      </c>
      <c r="C297" s="27" t="str">
        <f aca="false">IF(COUNTA('Lista de Preços'!$A286:$W286)&gt;0,IF((COUNTBLANK('Lista de Preços'!$A286)+COUNTBLANK('Lista de Preços'!$B286)+COUNTBLANK('Lista de Preços'!$C286)+COUNTBLANK('Lista de Preços'!$D286)+COUNTBLANK('Lista de Preços'!$E286)+COUNTBLANK('Lista de Preços'!$F286)+COUNTBLANK('Lista de Preços'!$L286)+COUNTBLANK('Lista de Preços'!$M286)+COUNTBLANK('Lista de Preços'!$P286)+COUNTBLANK('Lista de Preços'!$U286)+COUNTBLANK('Lista de Preços'!$V286))&gt;0,"ERRO","OK"),"")</f>
        <v/>
      </c>
      <c r="D297" s="27" t="str">
        <f aca="false">IF(COUNTA('Lista de Preços'!$A286:$W286)&gt;0,IF(OR(AND('Lista de Preços'!$L286&lt;&gt;"",NOT(ISNUMBER('Lista de Preços'!$L286))),AND('Lista de Preços'!$M286&lt;&gt;"",NOT(ISNUMBER('Lista de Preços'!$M286)))),"ERRO","OK"),"")</f>
        <v/>
      </c>
      <c r="E297" s="27" t="str">
        <f aca="false">IF(COUNTA('Lista de Preços'!$A286:$W286)&gt;0,IF(AND(ISNUMBER('Lista de Preços'!$L286),ISNUMBER('Lista de Preços'!$M286),'Lista de Preços'!$L286&gt;'Lista de Preços'!$M286),"ERRO","OK"),"")</f>
        <v/>
      </c>
      <c r="F297" s="27" t="str">
        <f aca="true">IF(COUNTA('Lista de Preços'!$A286:$W286)&gt;0,IF(AND('Lista de Preços'!$S286&lt;&gt;"",ISNUMBER('Lista de Preços'!$S286),'Lista de Preços'!$S286&lt;TODAY()),"ERRO","OK"),"")</f>
        <v/>
      </c>
      <c r="G297" s="27" t="str">
        <f aca="false">IF(COUNTA('Lista de Preços'!$A286:$W286)&gt;0,IF(AND('Lista de Preços'!$A286&lt;&gt;"",COUNTIF('Lista de Preços'!$A$4:$A$503,'Lista de Preços'!$A286)&gt;1),"ERRO","OK"),"")</f>
        <v/>
      </c>
      <c r="H297" s="27" t="str">
        <f aca="false">IF(COUNTA('Lista de Preços'!$A286:$W286)&gt;0,IF(AND('Lista de Preços'!$N286&lt;&gt;"",ISNUMBER('Lista de Preços'!$N286),OR('Lista de Preços'!$N286&lt;0,'Lista de Preços'!$N286&gt;0.5)),"ERRO","OK"),"")</f>
        <v/>
      </c>
      <c r="I297" s="27" t="str">
        <f aca="false">IF(COUNTA('Lista de Preços'!$A286:$W286)&gt;0,IF(OR($C297="ERRO",$D297="ERRO",$E297="ERRO",$F297="ERRO",$G297="ERRO",$H297="ERRO"),"FALHA","OK"),"")</f>
        <v/>
      </c>
    </row>
    <row r="298" customFormat="false" ht="15" hidden="false" customHeight="false" outlineLevel="0" collapsed="false">
      <c r="A298" s="26" t="n">
        <f aca="false">'Lista de Preços'!$A287</f>
        <v>0</v>
      </c>
      <c r="B298" s="26" t="n">
        <f aca="false">'Lista de Preços'!$B287</f>
        <v>0</v>
      </c>
      <c r="C298" s="27" t="str">
        <f aca="false">IF(COUNTA('Lista de Preços'!$A287:$W287)&gt;0,IF((COUNTBLANK('Lista de Preços'!$A287)+COUNTBLANK('Lista de Preços'!$B287)+COUNTBLANK('Lista de Preços'!$C287)+COUNTBLANK('Lista de Preços'!$D287)+COUNTBLANK('Lista de Preços'!$E287)+COUNTBLANK('Lista de Preços'!$F287)+COUNTBLANK('Lista de Preços'!$L287)+COUNTBLANK('Lista de Preços'!$M287)+COUNTBLANK('Lista de Preços'!$P287)+COUNTBLANK('Lista de Preços'!$U287)+COUNTBLANK('Lista de Preços'!$V287))&gt;0,"ERRO","OK"),"")</f>
        <v/>
      </c>
      <c r="D298" s="27" t="str">
        <f aca="false">IF(COUNTA('Lista de Preços'!$A287:$W287)&gt;0,IF(OR(AND('Lista de Preços'!$L287&lt;&gt;"",NOT(ISNUMBER('Lista de Preços'!$L287))),AND('Lista de Preços'!$M287&lt;&gt;"",NOT(ISNUMBER('Lista de Preços'!$M287)))),"ERRO","OK"),"")</f>
        <v/>
      </c>
      <c r="E298" s="27" t="str">
        <f aca="false">IF(COUNTA('Lista de Preços'!$A287:$W287)&gt;0,IF(AND(ISNUMBER('Lista de Preços'!$L287),ISNUMBER('Lista de Preços'!$M287),'Lista de Preços'!$L287&gt;'Lista de Preços'!$M287),"ERRO","OK"),"")</f>
        <v/>
      </c>
      <c r="F298" s="27" t="str">
        <f aca="true">IF(COUNTA('Lista de Preços'!$A287:$W287)&gt;0,IF(AND('Lista de Preços'!$S287&lt;&gt;"",ISNUMBER('Lista de Preços'!$S287),'Lista de Preços'!$S287&lt;TODAY()),"ERRO","OK"),"")</f>
        <v/>
      </c>
      <c r="G298" s="27" t="str">
        <f aca="false">IF(COUNTA('Lista de Preços'!$A287:$W287)&gt;0,IF(AND('Lista de Preços'!$A287&lt;&gt;"",COUNTIF('Lista de Preços'!$A$4:$A$503,'Lista de Preços'!$A287)&gt;1),"ERRO","OK"),"")</f>
        <v/>
      </c>
      <c r="H298" s="27" t="str">
        <f aca="false">IF(COUNTA('Lista de Preços'!$A287:$W287)&gt;0,IF(AND('Lista de Preços'!$N287&lt;&gt;"",ISNUMBER('Lista de Preços'!$N287),OR('Lista de Preços'!$N287&lt;0,'Lista de Preços'!$N287&gt;0.5)),"ERRO","OK"),"")</f>
        <v/>
      </c>
      <c r="I298" s="27" t="str">
        <f aca="false">IF(COUNTA('Lista de Preços'!$A287:$W287)&gt;0,IF(OR($C298="ERRO",$D298="ERRO",$E298="ERRO",$F298="ERRO",$G298="ERRO",$H298="ERRO"),"FALHA","OK"),"")</f>
        <v/>
      </c>
    </row>
    <row r="299" customFormat="false" ht="15" hidden="false" customHeight="false" outlineLevel="0" collapsed="false">
      <c r="A299" s="26" t="n">
        <f aca="false">'Lista de Preços'!$A288</f>
        <v>0</v>
      </c>
      <c r="B299" s="26" t="n">
        <f aca="false">'Lista de Preços'!$B288</f>
        <v>0</v>
      </c>
      <c r="C299" s="27" t="str">
        <f aca="false">IF(COUNTA('Lista de Preços'!$A288:$W288)&gt;0,IF((COUNTBLANK('Lista de Preços'!$A288)+COUNTBLANK('Lista de Preços'!$B288)+COUNTBLANK('Lista de Preços'!$C288)+COUNTBLANK('Lista de Preços'!$D288)+COUNTBLANK('Lista de Preços'!$E288)+COUNTBLANK('Lista de Preços'!$F288)+COUNTBLANK('Lista de Preços'!$L288)+COUNTBLANK('Lista de Preços'!$M288)+COUNTBLANK('Lista de Preços'!$P288)+COUNTBLANK('Lista de Preços'!$U288)+COUNTBLANK('Lista de Preços'!$V288))&gt;0,"ERRO","OK"),"")</f>
        <v/>
      </c>
      <c r="D299" s="27" t="str">
        <f aca="false">IF(COUNTA('Lista de Preços'!$A288:$W288)&gt;0,IF(OR(AND('Lista de Preços'!$L288&lt;&gt;"",NOT(ISNUMBER('Lista de Preços'!$L288))),AND('Lista de Preços'!$M288&lt;&gt;"",NOT(ISNUMBER('Lista de Preços'!$M288)))),"ERRO","OK"),"")</f>
        <v/>
      </c>
      <c r="E299" s="27" t="str">
        <f aca="false">IF(COUNTA('Lista de Preços'!$A288:$W288)&gt;0,IF(AND(ISNUMBER('Lista de Preços'!$L288),ISNUMBER('Lista de Preços'!$M288),'Lista de Preços'!$L288&gt;'Lista de Preços'!$M288),"ERRO","OK"),"")</f>
        <v/>
      </c>
      <c r="F299" s="27" t="str">
        <f aca="true">IF(COUNTA('Lista de Preços'!$A288:$W288)&gt;0,IF(AND('Lista de Preços'!$S288&lt;&gt;"",ISNUMBER('Lista de Preços'!$S288),'Lista de Preços'!$S288&lt;TODAY()),"ERRO","OK"),"")</f>
        <v/>
      </c>
      <c r="G299" s="27" t="str">
        <f aca="false">IF(COUNTA('Lista de Preços'!$A288:$W288)&gt;0,IF(AND('Lista de Preços'!$A288&lt;&gt;"",COUNTIF('Lista de Preços'!$A$4:$A$503,'Lista de Preços'!$A288)&gt;1),"ERRO","OK"),"")</f>
        <v/>
      </c>
      <c r="H299" s="27" t="str">
        <f aca="false">IF(COUNTA('Lista de Preços'!$A288:$W288)&gt;0,IF(AND('Lista de Preços'!$N288&lt;&gt;"",ISNUMBER('Lista de Preços'!$N288),OR('Lista de Preços'!$N288&lt;0,'Lista de Preços'!$N288&gt;0.5)),"ERRO","OK"),"")</f>
        <v/>
      </c>
      <c r="I299" s="27" t="str">
        <f aca="false">IF(COUNTA('Lista de Preços'!$A288:$W288)&gt;0,IF(OR($C299="ERRO",$D299="ERRO",$E299="ERRO",$F299="ERRO",$G299="ERRO",$H299="ERRO"),"FALHA","OK"),"")</f>
        <v/>
      </c>
    </row>
    <row r="300" customFormat="false" ht="15" hidden="false" customHeight="false" outlineLevel="0" collapsed="false">
      <c r="A300" s="26" t="n">
        <f aca="false">'Lista de Preços'!$A289</f>
        <v>0</v>
      </c>
      <c r="B300" s="26" t="n">
        <f aca="false">'Lista de Preços'!$B289</f>
        <v>0</v>
      </c>
      <c r="C300" s="27" t="str">
        <f aca="false">IF(COUNTA('Lista de Preços'!$A289:$W289)&gt;0,IF((COUNTBLANK('Lista de Preços'!$A289)+COUNTBLANK('Lista de Preços'!$B289)+COUNTBLANK('Lista de Preços'!$C289)+COUNTBLANK('Lista de Preços'!$D289)+COUNTBLANK('Lista de Preços'!$E289)+COUNTBLANK('Lista de Preços'!$F289)+COUNTBLANK('Lista de Preços'!$L289)+COUNTBLANK('Lista de Preços'!$M289)+COUNTBLANK('Lista de Preços'!$P289)+COUNTBLANK('Lista de Preços'!$U289)+COUNTBLANK('Lista de Preços'!$V289))&gt;0,"ERRO","OK"),"")</f>
        <v/>
      </c>
      <c r="D300" s="27" t="str">
        <f aca="false">IF(COUNTA('Lista de Preços'!$A289:$W289)&gt;0,IF(OR(AND('Lista de Preços'!$L289&lt;&gt;"",NOT(ISNUMBER('Lista de Preços'!$L289))),AND('Lista de Preços'!$M289&lt;&gt;"",NOT(ISNUMBER('Lista de Preços'!$M289)))),"ERRO","OK"),"")</f>
        <v/>
      </c>
      <c r="E300" s="27" t="str">
        <f aca="false">IF(COUNTA('Lista de Preços'!$A289:$W289)&gt;0,IF(AND(ISNUMBER('Lista de Preços'!$L289),ISNUMBER('Lista de Preços'!$M289),'Lista de Preços'!$L289&gt;'Lista de Preços'!$M289),"ERRO","OK"),"")</f>
        <v/>
      </c>
      <c r="F300" s="27" t="str">
        <f aca="true">IF(COUNTA('Lista de Preços'!$A289:$W289)&gt;0,IF(AND('Lista de Preços'!$S289&lt;&gt;"",ISNUMBER('Lista de Preços'!$S289),'Lista de Preços'!$S289&lt;TODAY()),"ERRO","OK"),"")</f>
        <v/>
      </c>
      <c r="G300" s="27" t="str">
        <f aca="false">IF(COUNTA('Lista de Preços'!$A289:$W289)&gt;0,IF(AND('Lista de Preços'!$A289&lt;&gt;"",COUNTIF('Lista de Preços'!$A$4:$A$503,'Lista de Preços'!$A289)&gt;1),"ERRO","OK"),"")</f>
        <v/>
      </c>
      <c r="H300" s="27" t="str">
        <f aca="false">IF(COUNTA('Lista de Preços'!$A289:$W289)&gt;0,IF(AND('Lista de Preços'!$N289&lt;&gt;"",ISNUMBER('Lista de Preços'!$N289),OR('Lista de Preços'!$N289&lt;0,'Lista de Preços'!$N289&gt;0.5)),"ERRO","OK"),"")</f>
        <v/>
      </c>
      <c r="I300" s="27" t="str">
        <f aca="false">IF(COUNTA('Lista de Preços'!$A289:$W289)&gt;0,IF(OR($C300="ERRO",$D300="ERRO",$E300="ERRO",$F300="ERRO",$G300="ERRO",$H300="ERRO"),"FALHA","OK"),"")</f>
        <v/>
      </c>
    </row>
    <row r="301" customFormat="false" ht="15" hidden="false" customHeight="false" outlineLevel="0" collapsed="false">
      <c r="A301" s="26" t="n">
        <f aca="false">'Lista de Preços'!$A290</f>
        <v>0</v>
      </c>
      <c r="B301" s="26" t="n">
        <f aca="false">'Lista de Preços'!$B290</f>
        <v>0</v>
      </c>
      <c r="C301" s="27" t="str">
        <f aca="false">IF(COUNTA('Lista de Preços'!$A290:$W290)&gt;0,IF((COUNTBLANK('Lista de Preços'!$A290)+COUNTBLANK('Lista de Preços'!$B290)+COUNTBLANK('Lista de Preços'!$C290)+COUNTBLANK('Lista de Preços'!$D290)+COUNTBLANK('Lista de Preços'!$E290)+COUNTBLANK('Lista de Preços'!$F290)+COUNTBLANK('Lista de Preços'!$L290)+COUNTBLANK('Lista de Preços'!$M290)+COUNTBLANK('Lista de Preços'!$P290)+COUNTBLANK('Lista de Preços'!$U290)+COUNTBLANK('Lista de Preços'!$V290))&gt;0,"ERRO","OK"),"")</f>
        <v/>
      </c>
      <c r="D301" s="27" t="str">
        <f aca="false">IF(COUNTA('Lista de Preços'!$A290:$W290)&gt;0,IF(OR(AND('Lista de Preços'!$L290&lt;&gt;"",NOT(ISNUMBER('Lista de Preços'!$L290))),AND('Lista de Preços'!$M290&lt;&gt;"",NOT(ISNUMBER('Lista de Preços'!$M290)))),"ERRO","OK"),"")</f>
        <v/>
      </c>
      <c r="E301" s="27" t="str">
        <f aca="false">IF(COUNTA('Lista de Preços'!$A290:$W290)&gt;0,IF(AND(ISNUMBER('Lista de Preços'!$L290),ISNUMBER('Lista de Preços'!$M290),'Lista de Preços'!$L290&gt;'Lista de Preços'!$M290),"ERRO","OK"),"")</f>
        <v/>
      </c>
      <c r="F301" s="27" t="str">
        <f aca="true">IF(COUNTA('Lista de Preços'!$A290:$W290)&gt;0,IF(AND('Lista de Preços'!$S290&lt;&gt;"",ISNUMBER('Lista de Preços'!$S290),'Lista de Preços'!$S290&lt;TODAY()),"ERRO","OK"),"")</f>
        <v/>
      </c>
      <c r="G301" s="27" t="str">
        <f aca="false">IF(COUNTA('Lista de Preços'!$A290:$W290)&gt;0,IF(AND('Lista de Preços'!$A290&lt;&gt;"",COUNTIF('Lista de Preços'!$A$4:$A$503,'Lista de Preços'!$A290)&gt;1),"ERRO","OK"),"")</f>
        <v/>
      </c>
      <c r="H301" s="27" t="str">
        <f aca="false">IF(COUNTA('Lista de Preços'!$A290:$W290)&gt;0,IF(AND('Lista de Preços'!$N290&lt;&gt;"",ISNUMBER('Lista de Preços'!$N290),OR('Lista de Preços'!$N290&lt;0,'Lista de Preços'!$N290&gt;0.5)),"ERRO","OK"),"")</f>
        <v/>
      </c>
      <c r="I301" s="27" t="str">
        <f aca="false">IF(COUNTA('Lista de Preços'!$A290:$W290)&gt;0,IF(OR($C301="ERRO",$D301="ERRO",$E301="ERRO",$F301="ERRO",$G301="ERRO",$H301="ERRO"),"FALHA","OK"),"")</f>
        <v/>
      </c>
    </row>
    <row r="302" customFormat="false" ht="15" hidden="false" customHeight="false" outlineLevel="0" collapsed="false">
      <c r="A302" s="26" t="n">
        <f aca="false">'Lista de Preços'!$A291</f>
        <v>0</v>
      </c>
      <c r="B302" s="26" t="n">
        <f aca="false">'Lista de Preços'!$B291</f>
        <v>0</v>
      </c>
      <c r="C302" s="27" t="str">
        <f aca="false">IF(COUNTA('Lista de Preços'!$A291:$W291)&gt;0,IF((COUNTBLANK('Lista de Preços'!$A291)+COUNTBLANK('Lista de Preços'!$B291)+COUNTBLANK('Lista de Preços'!$C291)+COUNTBLANK('Lista de Preços'!$D291)+COUNTBLANK('Lista de Preços'!$E291)+COUNTBLANK('Lista de Preços'!$F291)+COUNTBLANK('Lista de Preços'!$L291)+COUNTBLANK('Lista de Preços'!$M291)+COUNTBLANK('Lista de Preços'!$P291)+COUNTBLANK('Lista de Preços'!$U291)+COUNTBLANK('Lista de Preços'!$V291))&gt;0,"ERRO","OK"),"")</f>
        <v/>
      </c>
      <c r="D302" s="27" t="str">
        <f aca="false">IF(COUNTA('Lista de Preços'!$A291:$W291)&gt;0,IF(OR(AND('Lista de Preços'!$L291&lt;&gt;"",NOT(ISNUMBER('Lista de Preços'!$L291))),AND('Lista de Preços'!$M291&lt;&gt;"",NOT(ISNUMBER('Lista de Preços'!$M291)))),"ERRO","OK"),"")</f>
        <v/>
      </c>
      <c r="E302" s="27" t="str">
        <f aca="false">IF(COUNTA('Lista de Preços'!$A291:$W291)&gt;0,IF(AND(ISNUMBER('Lista de Preços'!$L291),ISNUMBER('Lista de Preços'!$M291),'Lista de Preços'!$L291&gt;'Lista de Preços'!$M291),"ERRO","OK"),"")</f>
        <v/>
      </c>
      <c r="F302" s="27" t="str">
        <f aca="true">IF(COUNTA('Lista de Preços'!$A291:$W291)&gt;0,IF(AND('Lista de Preços'!$S291&lt;&gt;"",ISNUMBER('Lista de Preços'!$S291),'Lista de Preços'!$S291&lt;TODAY()),"ERRO","OK"),"")</f>
        <v/>
      </c>
      <c r="G302" s="27" t="str">
        <f aca="false">IF(COUNTA('Lista de Preços'!$A291:$W291)&gt;0,IF(AND('Lista de Preços'!$A291&lt;&gt;"",COUNTIF('Lista de Preços'!$A$4:$A$503,'Lista de Preços'!$A291)&gt;1),"ERRO","OK"),"")</f>
        <v/>
      </c>
      <c r="H302" s="27" t="str">
        <f aca="false">IF(COUNTA('Lista de Preços'!$A291:$W291)&gt;0,IF(AND('Lista de Preços'!$N291&lt;&gt;"",ISNUMBER('Lista de Preços'!$N291),OR('Lista de Preços'!$N291&lt;0,'Lista de Preços'!$N291&gt;0.5)),"ERRO","OK"),"")</f>
        <v/>
      </c>
      <c r="I302" s="27" t="str">
        <f aca="false">IF(COUNTA('Lista de Preços'!$A291:$W291)&gt;0,IF(OR($C302="ERRO",$D302="ERRO",$E302="ERRO",$F302="ERRO",$G302="ERRO",$H302="ERRO"),"FALHA","OK"),"")</f>
        <v/>
      </c>
    </row>
    <row r="303" customFormat="false" ht="15" hidden="false" customHeight="false" outlineLevel="0" collapsed="false">
      <c r="A303" s="26" t="n">
        <f aca="false">'Lista de Preços'!$A292</f>
        <v>0</v>
      </c>
      <c r="B303" s="26" t="n">
        <f aca="false">'Lista de Preços'!$B292</f>
        <v>0</v>
      </c>
      <c r="C303" s="27" t="str">
        <f aca="false">IF(COUNTA('Lista de Preços'!$A292:$W292)&gt;0,IF((COUNTBLANK('Lista de Preços'!$A292)+COUNTBLANK('Lista de Preços'!$B292)+COUNTBLANK('Lista de Preços'!$C292)+COUNTBLANK('Lista de Preços'!$D292)+COUNTBLANK('Lista de Preços'!$E292)+COUNTBLANK('Lista de Preços'!$F292)+COUNTBLANK('Lista de Preços'!$L292)+COUNTBLANK('Lista de Preços'!$M292)+COUNTBLANK('Lista de Preços'!$P292)+COUNTBLANK('Lista de Preços'!$U292)+COUNTBLANK('Lista de Preços'!$V292))&gt;0,"ERRO","OK"),"")</f>
        <v/>
      </c>
      <c r="D303" s="27" t="str">
        <f aca="false">IF(COUNTA('Lista de Preços'!$A292:$W292)&gt;0,IF(OR(AND('Lista de Preços'!$L292&lt;&gt;"",NOT(ISNUMBER('Lista de Preços'!$L292))),AND('Lista de Preços'!$M292&lt;&gt;"",NOT(ISNUMBER('Lista de Preços'!$M292)))),"ERRO","OK"),"")</f>
        <v/>
      </c>
      <c r="E303" s="27" t="str">
        <f aca="false">IF(COUNTA('Lista de Preços'!$A292:$W292)&gt;0,IF(AND(ISNUMBER('Lista de Preços'!$L292),ISNUMBER('Lista de Preços'!$M292),'Lista de Preços'!$L292&gt;'Lista de Preços'!$M292),"ERRO","OK"),"")</f>
        <v/>
      </c>
      <c r="F303" s="27" t="str">
        <f aca="true">IF(COUNTA('Lista de Preços'!$A292:$W292)&gt;0,IF(AND('Lista de Preços'!$S292&lt;&gt;"",ISNUMBER('Lista de Preços'!$S292),'Lista de Preços'!$S292&lt;TODAY()),"ERRO","OK"),"")</f>
        <v/>
      </c>
      <c r="G303" s="27" t="str">
        <f aca="false">IF(COUNTA('Lista de Preços'!$A292:$W292)&gt;0,IF(AND('Lista de Preços'!$A292&lt;&gt;"",COUNTIF('Lista de Preços'!$A$4:$A$503,'Lista de Preços'!$A292)&gt;1),"ERRO","OK"),"")</f>
        <v/>
      </c>
      <c r="H303" s="27" t="str">
        <f aca="false">IF(COUNTA('Lista de Preços'!$A292:$W292)&gt;0,IF(AND('Lista de Preços'!$N292&lt;&gt;"",ISNUMBER('Lista de Preços'!$N292),OR('Lista de Preços'!$N292&lt;0,'Lista de Preços'!$N292&gt;0.5)),"ERRO","OK"),"")</f>
        <v/>
      </c>
      <c r="I303" s="27" t="str">
        <f aca="false">IF(COUNTA('Lista de Preços'!$A292:$W292)&gt;0,IF(OR($C303="ERRO",$D303="ERRO",$E303="ERRO",$F303="ERRO",$G303="ERRO",$H303="ERRO"),"FALHA","OK"),"")</f>
        <v/>
      </c>
    </row>
    <row r="304" customFormat="false" ht="15" hidden="false" customHeight="false" outlineLevel="0" collapsed="false">
      <c r="A304" s="26" t="n">
        <f aca="false">'Lista de Preços'!$A293</f>
        <v>0</v>
      </c>
      <c r="B304" s="26" t="n">
        <f aca="false">'Lista de Preços'!$B293</f>
        <v>0</v>
      </c>
      <c r="C304" s="27" t="str">
        <f aca="false">IF(COUNTA('Lista de Preços'!$A293:$W293)&gt;0,IF((COUNTBLANK('Lista de Preços'!$A293)+COUNTBLANK('Lista de Preços'!$B293)+COUNTBLANK('Lista de Preços'!$C293)+COUNTBLANK('Lista de Preços'!$D293)+COUNTBLANK('Lista de Preços'!$E293)+COUNTBLANK('Lista de Preços'!$F293)+COUNTBLANK('Lista de Preços'!$L293)+COUNTBLANK('Lista de Preços'!$M293)+COUNTBLANK('Lista de Preços'!$P293)+COUNTBLANK('Lista de Preços'!$U293)+COUNTBLANK('Lista de Preços'!$V293))&gt;0,"ERRO","OK"),"")</f>
        <v/>
      </c>
      <c r="D304" s="27" t="str">
        <f aca="false">IF(COUNTA('Lista de Preços'!$A293:$W293)&gt;0,IF(OR(AND('Lista de Preços'!$L293&lt;&gt;"",NOT(ISNUMBER('Lista de Preços'!$L293))),AND('Lista de Preços'!$M293&lt;&gt;"",NOT(ISNUMBER('Lista de Preços'!$M293)))),"ERRO","OK"),"")</f>
        <v/>
      </c>
      <c r="E304" s="27" t="str">
        <f aca="false">IF(COUNTA('Lista de Preços'!$A293:$W293)&gt;0,IF(AND(ISNUMBER('Lista de Preços'!$L293),ISNUMBER('Lista de Preços'!$M293),'Lista de Preços'!$L293&gt;'Lista de Preços'!$M293),"ERRO","OK"),"")</f>
        <v/>
      </c>
      <c r="F304" s="27" t="str">
        <f aca="true">IF(COUNTA('Lista de Preços'!$A293:$W293)&gt;0,IF(AND('Lista de Preços'!$S293&lt;&gt;"",ISNUMBER('Lista de Preços'!$S293),'Lista de Preços'!$S293&lt;TODAY()),"ERRO","OK"),"")</f>
        <v/>
      </c>
      <c r="G304" s="27" t="str">
        <f aca="false">IF(COUNTA('Lista de Preços'!$A293:$W293)&gt;0,IF(AND('Lista de Preços'!$A293&lt;&gt;"",COUNTIF('Lista de Preços'!$A$4:$A$503,'Lista de Preços'!$A293)&gt;1),"ERRO","OK"),"")</f>
        <v/>
      </c>
      <c r="H304" s="27" t="str">
        <f aca="false">IF(COUNTA('Lista de Preços'!$A293:$W293)&gt;0,IF(AND('Lista de Preços'!$N293&lt;&gt;"",ISNUMBER('Lista de Preços'!$N293),OR('Lista de Preços'!$N293&lt;0,'Lista de Preços'!$N293&gt;0.5)),"ERRO","OK"),"")</f>
        <v/>
      </c>
      <c r="I304" s="27" t="str">
        <f aca="false">IF(COUNTA('Lista de Preços'!$A293:$W293)&gt;0,IF(OR($C304="ERRO",$D304="ERRO",$E304="ERRO",$F304="ERRO",$G304="ERRO",$H304="ERRO"),"FALHA","OK"),"")</f>
        <v/>
      </c>
    </row>
    <row r="305" customFormat="false" ht="15" hidden="false" customHeight="false" outlineLevel="0" collapsed="false">
      <c r="A305" s="26" t="n">
        <f aca="false">'Lista de Preços'!$A294</f>
        <v>0</v>
      </c>
      <c r="B305" s="26" t="n">
        <f aca="false">'Lista de Preços'!$B294</f>
        <v>0</v>
      </c>
      <c r="C305" s="27" t="str">
        <f aca="false">IF(COUNTA('Lista de Preços'!$A294:$W294)&gt;0,IF((COUNTBLANK('Lista de Preços'!$A294)+COUNTBLANK('Lista de Preços'!$B294)+COUNTBLANK('Lista de Preços'!$C294)+COUNTBLANK('Lista de Preços'!$D294)+COUNTBLANK('Lista de Preços'!$E294)+COUNTBLANK('Lista de Preços'!$F294)+COUNTBLANK('Lista de Preços'!$L294)+COUNTBLANK('Lista de Preços'!$M294)+COUNTBLANK('Lista de Preços'!$P294)+COUNTBLANK('Lista de Preços'!$U294)+COUNTBLANK('Lista de Preços'!$V294))&gt;0,"ERRO","OK"),"")</f>
        <v/>
      </c>
      <c r="D305" s="27" t="str">
        <f aca="false">IF(COUNTA('Lista de Preços'!$A294:$W294)&gt;0,IF(OR(AND('Lista de Preços'!$L294&lt;&gt;"",NOT(ISNUMBER('Lista de Preços'!$L294))),AND('Lista de Preços'!$M294&lt;&gt;"",NOT(ISNUMBER('Lista de Preços'!$M294)))),"ERRO","OK"),"")</f>
        <v/>
      </c>
      <c r="E305" s="27" t="str">
        <f aca="false">IF(COUNTA('Lista de Preços'!$A294:$W294)&gt;0,IF(AND(ISNUMBER('Lista de Preços'!$L294),ISNUMBER('Lista de Preços'!$M294),'Lista de Preços'!$L294&gt;'Lista de Preços'!$M294),"ERRO","OK"),"")</f>
        <v/>
      </c>
      <c r="F305" s="27" t="str">
        <f aca="true">IF(COUNTA('Lista de Preços'!$A294:$W294)&gt;0,IF(AND('Lista de Preços'!$S294&lt;&gt;"",ISNUMBER('Lista de Preços'!$S294),'Lista de Preços'!$S294&lt;TODAY()),"ERRO","OK"),"")</f>
        <v/>
      </c>
      <c r="G305" s="27" t="str">
        <f aca="false">IF(COUNTA('Lista de Preços'!$A294:$W294)&gt;0,IF(AND('Lista de Preços'!$A294&lt;&gt;"",COUNTIF('Lista de Preços'!$A$4:$A$503,'Lista de Preços'!$A294)&gt;1),"ERRO","OK"),"")</f>
        <v/>
      </c>
      <c r="H305" s="27" t="str">
        <f aca="false">IF(COUNTA('Lista de Preços'!$A294:$W294)&gt;0,IF(AND('Lista de Preços'!$N294&lt;&gt;"",ISNUMBER('Lista de Preços'!$N294),OR('Lista de Preços'!$N294&lt;0,'Lista de Preços'!$N294&gt;0.5)),"ERRO","OK"),"")</f>
        <v/>
      </c>
      <c r="I305" s="27" t="str">
        <f aca="false">IF(COUNTA('Lista de Preços'!$A294:$W294)&gt;0,IF(OR($C305="ERRO",$D305="ERRO",$E305="ERRO",$F305="ERRO",$G305="ERRO",$H305="ERRO"),"FALHA","OK"),"")</f>
        <v/>
      </c>
    </row>
    <row r="306" customFormat="false" ht="15" hidden="false" customHeight="false" outlineLevel="0" collapsed="false">
      <c r="A306" s="26" t="n">
        <f aca="false">'Lista de Preços'!$A295</f>
        <v>0</v>
      </c>
      <c r="B306" s="26" t="n">
        <f aca="false">'Lista de Preços'!$B295</f>
        <v>0</v>
      </c>
      <c r="C306" s="27" t="str">
        <f aca="false">IF(COUNTA('Lista de Preços'!$A295:$W295)&gt;0,IF((COUNTBLANK('Lista de Preços'!$A295)+COUNTBLANK('Lista de Preços'!$B295)+COUNTBLANK('Lista de Preços'!$C295)+COUNTBLANK('Lista de Preços'!$D295)+COUNTBLANK('Lista de Preços'!$E295)+COUNTBLANK('Lista de Preços'!$F295)+COUNTBLANK('Lista de Preços'!$L295)+COUNTBLANK('Lista de Preços'!$M295)+COUNTBLANK('Lista de Preços'!$P295)+COUNTBLANK('Lista de Preços'!$U295)+COUNTBLANK('Lista de Preços'!$V295))&gt;0,"ERRO","OK"),"")</f>
        <v/>
      </c>
      <c r="D306" s="27" t="str">
        <f aca="false">IF(COUNTA('Lista de Preços'!$A295:$W295)&gt;0,IF(OR(AND('Lista de Preços'!$L295&lt;&gt;"",NOT(ISNUMBER('Lista de Preços'!$L295))),AND('Lista de Preços'!$M295&lt;&gt;"",NOT(ISNUMBER('Lista de Preços'!$M295)))),"ERRO","OK"),"")</f>
        <v/>
      </c>
      <c r="E306" s="27" t="str">
        <f aca="false">IF(COUNTA('Lista de Preços'!$A295:$W295)&gt;0,IF(AND(ISNUMBER('Lista de Preços'!$L295),ISNUMBER('Lista de Preços'!$M295),'Lista de Preços'!$L295&gt;'Lista de Preços'!$M295),"ERRO","OK"),"")</f>
        <v/>
      </c>
      <c r="F306" s="27" t="str">
        <f aca="true">IF(COUNTA('Lista de Preços'!$A295:$W295)&gt;0,IF(AND('Lista de Preços'!$S295&lt;&gt;"",ISNUMBER('Lista de Preços'!$S295),'Lista de Preços'!$S295&lt;TODAY()),"ERRO","OK"),"")</f>
        <v/>
      </c>
      <c r="G306" s="27" t="str">
        <f aca="false">IF(COUNTA('Lista de Preços'!$A295:$W295)&gt;0,IF(AND('Lista de Preços'!$A295&lt;&gt;"",COUNTIF('Lista de Preços'!$A$4:$A$503,'Lista de Preços'!$A295)&gt;1),"ERRO","OK"),"")</f>
        <v/>
      </c>
      <c r="H306" s="27" t="str">
        <f aca="false">IF(COUNTA('Lista de Preços'!$A295:$W295)&gt;0,IF(AND('Lista de Preços'!$N295&lt;&gt;"",ISNUMBER('Lista de Preços'!$N295),OR('Lista de Preços'!$N295&lt;0,'Lista de Preços'!$N295&gt;0.5)),"ERRO","OK"),"")</f>
        <v/>
      </c>
      <c r="I306" s="27" t="str">
        <f aca="false">IF(COUNTA('Lista de Preços'!$A295:$W295)&gt;0,IF(OR($C306="ERRO",$D306="ERRO",$E306="ERRO",$F306="ERRO",$G306="ERRO",$H306="ERRO"),"FALHA","OK"),"")</f>
        <v/>
      </c>
    </row>
    <row r="307" customFormat="false" ht="15" hidden="false" customHeight="false" outlineLevel="0" collapsed="false">
      <c r="A307" s="26" t="n">
        <f aca="false">'Lista de Preços'!$A296</f>
        <v>0</v>
      </c>
      <c r="B307" s="26" t="n">
        <f aca="false">'Lista de Preços'!$B296</f>
        <v>0</v>
      </c>
      <c r="C307" s="27" t="str">
        <f aca="false">IF(COUNTA('Lista de Preços'!$A296:$W296)&gt;0,IF((COUNTBLANK('Lista de Preços'!$A296)+COUNTBLANK('Lista de Preços'!$B296)+COUNTBLANK('Lista de Preços'!$C296)+COUNTBLANK('Lista de Preços'!$D296)+COUNTBLANK('Lista de Preços'!$E296)+COUNTBLANK('Lista de Preços'!$F296)+COUNTBLANK('Lista de Preços'!$L296)+COUNTBLANK('Lista de Preços'!$M296)+COUNTBLANK('Lista de Preços'!$P296)+COUNTBLANK('Lista de Preços'!$U296)+COUNTBLANK('Lista de Preços'!$V296))&gt;0,"ERRO","OK"),"")</f>
        <v/>
      </c>
      <c r="D307" s="27" t="str">
        <f aca="false">IF(COUNTA('Lista de Preços'!$A296:$W296)&gt;0,IF(OR(AND('Lista de Preços'!$L296&lt;&gt;"",NOT(ISNUMBER('Lista de Preços'!$L296))),AND('Lista de Preços'!$M296&lt;&gt;"",NOT(ISNUMBER('Lista de Preços'!$M296)))),"ERRO","OK"),"")</f>
        <v/>
      </c>
      <c r="E307" s="27" t="str">
        <f aca="false">IF(COUNTA('Lista de Preços'!$A296:$W296)&gt;0,IF(AND(ISNUMBER('Lista de Preços'!$L296),ISNUMBER('Lista de Preços'!$M296),'Lista de Preços'!$L296&gt;'Lista de Preços'!$M296),"ERRO","OK"),"")</f>
        <v/>
      </c>
      <c r="F307" s="27" t="str">
        <f aca="true">IF(COUNTA('Lista de Preços'!$A296:$W296)&gt;0,IF(AND('Lista de Preços'!$S296&lt;&gt;"",ISNUMBER('Lista de Preços'!$S296),'Lista de Preços'!$S296&lt;TODAY()),"ERRO","OK"),"")</f>
        <v/>
      </c>
      <c r="G307" s="27" t="str">
        <f aca="false">IF(COUNTA('Lista de Preços'!$A296:$W296)&gt;0,IF(AND('Lista de Preços'!$A296&lt;&gt;"",COUNTIF('Lista de Preços'!$A$4:$A$503,'Lista de Preços'!$A296)&gt;1),"ERRO","OK"),"")</f>
        <v/>
      </c>
      <c r="H307" s="27" t="str">
        <f aca="false">IF(COUNTA('Lista de Preços'!$A296:$W296)&gt;0,IF(AND('Lista de Preços'!$N296&lt;&gt;"",ISNUMBER('Lista de Preços'!$N296),OR('Lista de Preços'!$N296&lt;0,'Lista de Preços'!$N296&gt;0.5)),"ERRO","OK"),"")</f>
        <v/>
      </c>
      <c r="I307" s="27" t="str">
        <f aca="false">IF(COUNTA('Lista de Preços'!$A296:$W296)&gt;0,IF(OR($C307="ERRO",$D307="ERRO",$E307="ERRO",$F307="ERRO",$G307="ERRO",$H307="ERRO"),"FALHA","OK"),"")</f>
        <v/>
      </c>
    </row>
    <row r="308" customFormat="false" ht="15" hidden="false" customHeight="false" outlineLevel="0" collapsed="false">
      <c r="A308" s="26" t="n">
        <f aca="false">'Lista de Preços'!$A297</f>
        <v>0</v>
      </c>
      <c r="B308" s="26" t="n">
        <f aca="false">'Lista de Preços'!$B297</f>
        <v>0</v>
      </c>
      <c r="C308" s="27" t="str">
        <f aca="false">IF(COUNTA('Lista de Preços'!$A297:$W297)&gt;0,IF((COUNTBLANK('Lista de Preços'!$A297)+COUNTBLANK('Lista de Preços'!$B297)+COUNTBLANK('Lista de Preços'!$C297)+COUNTBLANK('Lista de Preços'!$D297)+COUNTBLANK('Lista de Preços'!$E297)+COUNTBLANK('Lista de Preços'!$F297)+COUNTBLANK('Lista de Preços'!$L297)+COUNTBLANK('Lista de Preços'!$M297)+COUNTBLANK('Lista de Preços'!$P297)+COUNTBLANK('Lista de Preços'!$U297)+COUNTBLANK('Lista de Preços'!$V297))&gt;0,"ERRO","OK"),"")</f>
        <v/>
      </c>
      <c r="D308" s="27" t="str">
        <f aca="false">IF(COUNTA('Lista de Preços'!$A297:$W297)&gt;0,IF(OR(AND('Lista de Preços'!$L297&lt;&gt;"",NOT(ISNUMBER('Lista de Preços'!$L297))),AND('Lista de Preços'!$M297&lt;&gt;"",NOT(ISNUMBER('Lista de Preços'!$M297)))),"ERRO","OK"),"")</f>
        <v/>
      </c>
      <c r="E308" s="27" t="str">
        <f aca="false">IF(COUNTA('Lista de Preços'!$A297:$W297)&gt;0,IF(AND(ISNUMBER('Lista de Preços'!$L297),ISNUMBER('Lista de Preços'!$M297),'Lista de Preços'!$L297&gt;'Lista de Preços'!$M297),"ERRO","OK"),"")</f>
        <v/>
      </c>
      <c r="F308" s="27" t="str">
        <f aca="true">IF(COUNTA('Lista de Preços'!$A297:$W297)&gt;0,IF(AND('Lista de Preços'!$S297&lt;&gt;"",ISNUMBER('Lista de Preços'!$S297),'Lista de Preços'!$S297&lt;TODAY()),"ERRO","OK"),"")</f>
        <v/>
      </c>
      <c r="G308" s="27" t="str">
        <f aca="false">IF(COUNTA('Lista de Preços'!$A297:$W297)&gt;0,IF(AND('Lista de Preços'!$A297&lt;&gt;"",COUNTIF('Lista de Preços'!$A$4:$A$503,'Lista de Preços'!$A297)&gt;1),"ERRO","OK"),"")</f>
        <v/>
      </c>
      <c r="H308" s="27" t="str">
        <f aca="false">IF(COUNTA('Lista de Preços'!$A297:$W297)&gt;0,IF(AND('Lista de Preços'!$N297&lt;&gt;"",ISNUMBER('Lista de Preços'!$N297),OR('Lista de Preços'!$N297&lt;0,'Lista de Preços'!$N297&gt;0.5)),"ERRO","OK"),"")</f>
        <v/>
      </c>
      <c r="I308" s="27" t="str">
        <f aca="false">IF(COUNTA('Lista de Preços'!$A297:$W297)&gt;0,IF(OR($C308="ERRO",$D308="ERRO",$E308="ERRO",$F308="ERRO",$G308="ERRO",$H308="ERRO"),"FALHA","OK"),"")</f>
        <v/>
      </c>
    </row>
    <row r="309" customFormat="false" ht="15" hidden="false" customHeight="false" outlineLevel="0" collapsed="false">
      <c r="A309" s="26" t="n">
        <f aca="false">'Lista de Preços'!$A298</f>
        <v>0</v>
      </c>
      <c r="B309" s="26" t="n">
        <f aca="false">'Lista de Preços'!$B298</f>
        <v>0</v>
      </c>
      <c r="C309" s="27" t="str">
        <f aca="false">IF(COUNTA('Lista de Preços'!$A298:$W298)&gt;0,IF((COUNTBLANK('Lista de Preços'!$A298)+COUNTBLANK('Lista de Preços'!$B298)+COUNTBLANK('Lista de Preços'!$C298)+COUNTBLANK('Lista de Preços'!$D298)+COUNTBLANK('Lista de Preços'!$E298)+COUNTBLANK('Lista de Preços'!$F298)+COUNTBLANK('Lista de Preços'!$L298)+COUNTBLANK('Lista de Preços'!$M298)+COUNTBLANK('Lista de Preços'!$P298)+COUNTBLANK('Lista de Preços'!$U298)+COUNTBLANK('Lista de Preços'!$V298))&gt;0,"ERRO","OK"),"")</f>
        <v/>
      </c>
      <c r="D309" s="27" t="str">
        <f aca="false">IF(COUNTA('Lista de Preços'!$A298:$W298)&gt;0,IF(OR(AND('Lista de Preços'!$L298&lt;&gt;"",NOT(ISNUMBER('Lista de Preços'!$L298))),AND('Lista de Preços'!$M298&lt;&gt;"",NOT(ISNUMBER('Lista de Preços'!$M298)))),"ERRO","OK"),"")</f>
        <v/>
      </c>
      <c r="E309" s="27" t="str">
        <f aca="false">IF(COUNTA('Lista de Preços'!$A298:$W298)&gt;0,IF(AND(ISNUMBER('Lista de Preços'!$L298),ISNUMBER('Lista de Preços'!$M298),'Lista de Preços'!$L298&gt;'Lista de Preços'!$M298),"ERRO","OK"),"")</f>
        <v/>
      </c>
      <c r="F309" s="27" t="str">
        <f aca="true">IF(COUNTA('Lista de Preços'!$A298:$W298)&gt;0,IF(AND('Lista de Preços'!$S298&lt;&gt;"",ISNUMBER('Lista de Preços'!$S298),'Lista de Preços'!$S298&lt;TODAY()),"ERRO","OK"),"")</f>
        <v/>
      </c>
      <c r="G309" s="27" t="str">
        <f aca="false">IF(COUNTA('Lista de Preços'!$A298:$W298)&gt;0,IF(AND('Lista de Preços'!$A298&lt;&gt;"",COUNTIF('Lista de Preços'!$A$4:$A$503,'Lista de Preços'!$A298)&gt;1),"ERRO","OK"),"")</f>
        <v/>
      </c>
      <c r="H309" s="27" t="str">
        <f aca="false">IF(COUNTA('Lista de Preços'!$A298:$W298)&gt;0,IF(AND('Lista de Preços'!$N298&lt;&gt;"",ISNUMBER('Lista de Preços'!$N298),OR('Lista de Preços'!$N298&lt;0,'Lista de Preços'!$N298&gt;0.5)),"ERRO","OK"),"")</f>
        <v/>
      </c>
      <c r="I309" s="27" t="str">
        <f aca="false">IF(COUNTA('Lista de Preços'!$A298:$W298)&gt;0,IF(OR($C309="ERRO",$D309="ERRO",$E309="ERRO",$F309="ERRO",$G309="ERRO",$H309="ERRO"),"FALHA","OK"),"")</f>
        <v/>
      </c>
    </row>
    <row r="310" customFormat="false" ht="15" hidden="false" customHeight="false" outlineLevel="0" collapsed="false">
      <c r="A310" s="26" t="n">
        <f aca="false">'Lista de Preços'!$A299</f>
        <v>0</v>
      </c>
      <c r="B310" s="26" t="n">
        <f aca="false">'Lista de Preços'!$B299</f>
        <v>0</v>
      </c>
      <c r="C310" s="27" t="str">
        <f aca="false">IF(COUNTA('Lista de Preços'!$A299:$W299)&gt;0,IF((COUNTBLANK('Lista de Preços'!$A299)+COUNTBLANK('Lista de Preços'!$B299)+COUNTBLANK('Lista de Preços'!$C299)+COUNTBLANK('Lista de Preços'!$D299)+COUNTBLANK('Lista de Preços'!$E299)+COUNTBLANK('Lista de Preços'!$F299)+COUNTBLANK('Lista de Preços'!$L299)+COUNTBLANK('Lista de Preços'!$M299)+COUNTBLANK('Lista de Preços'!$P299)+COUNTBLANK('Lista de Preços'!$U299)+COUNTBLANK('Lista de Preços'!$V299))&gt;0,"ERRO","OK"),"")</f>
        <v/>
      </c>
      <c r="D310" s="27" t="str">
        <f aca="false">IF(COUNTA('Lista de Preços'!$A299:$W299)&gt;0,IF(OR(AND('Lista de Preços'!$L299&lt;&gt;"",NOT(ISNUMBER('Lista de Preços'!$L299))),AND('Lista de Preços'!$M299&lt;&gt;"",NOT(ISNUMBER('Lista de Preços'!$M299)))),"ERRO","OK"),"")</f>
        <v/>
      </c>
      <c r="E310" s="27" t="str">
        <f aca="false">IF(COUNTA('Lista de Preços'!$A299:$W299)&gt;0,IF(AND(ISNUMBER('Lista de Preços'!$L299),ISNUMBER('Lista de Preços'!$M299),'Lista de Preços'!$L299&gt;'Lista de Preços'!$M299),"ERRO","OK"),"")</f>
        <v/>
      </c>
      <c r="F310" s="27" t="str">
        <f aca="true">IF(COUNTA('Lista de Preços'!$A299:$W299)&gt;0,IF(AND('Lista de Preços'!$S299&lt;&gt;"",ISNUMBER('Lista de Preços'!$S299),'Lista de Preços'!$S299&lt;TODAY()),"ERRO","OK"),"")</f>
        <v/>
      </c>
      <c r="G310" s="27" t="str">
        <f aca="false">IF(COUNTA('Lista de Preços'!$A299:$W299)&gt;0,IF(AND('Lista de Preços'!$A299&lt;&gt;"",COUNTIF('Lista de Preços'!$A$4:$A$503,'Lista de Preços'!$A299)&gt;1),"ERRO","OK"),"")</f>
        <v/>
      </c>
      <c r="H310" s="27" t="str">
        <f aca="false">IF(COUNTA('Lista de Preços'!$A299:$W299)&gt;0,IF(AND('Lista de Preços'!$N299&lt;&gt;"",ISNUMBER('Lista de Preços'!$N299),OR('Lista de Preços'!$N299&lt;0,'Lista de Preços'!$N299&gt;0.5)),"ERRO","OK"),"")</f>
        <v/>
      </c>
      <c r="I310" s="27" t="str">
        <f aca="false">IF(COUNTA('Lista de Preços'!$A299:$W299)&gt;0,IF(OR($C310="ERRO",$D310="ERRO",$E310="ERRO",$F310="ERRO",$G310="ERRO",$H310="ERRO"),"FALHA","OK"),"")</f>
        <v/>
      </c>
    </row>
    <row r="311" customFormat="false" ht="15" hidden="false" customHeight="false" outlineLevel="0" collapsed="false">
      <c r="A311" s="26" t="n">
        <f aca="false">'Lista de Preços'!$A300</f>
        <v>0</v>
      </c>
      <c r="B311" s="26" t="n">
        <f aca="false">'Lista de Preços'!$B300</f>
        <v>0</v>
      </c>
      <c r="C311" s="27" t="str">
        <f aca="false">IF(COUNTA('Lista de Preços'!$A300:$W300)&gt;0,IF((COUNTBLANK('Lista de Preços'!$A300)+COUNTBLANK('Lista de Preços'!$B300)+COUNTBLANK('Lista de Preços'!$C300)+COUNTBLANK('Lista de Preços'!$D300)+COUNTBLANK('Lista de Preços'!$E300)+COUNTBLANK('Lista de Preços'!$F300)+COUNTBLANK('Lista de Preços'!$L300)+COUNTBLANK('Lista de Preços'!$M300)+COUNTBLANK('Lista de Preços'!$P300)+COUNTBLANK('Lista de Preços'!$U300)+COUNTBLANK('Lista de Preços'!$V300))&gt;0,"ERRO","OK"),"")</f>
        <v/>
      </c>
      <c r="D311" s="27" t="str">
        <f aca="false">IF(COUNTA('Lista de Preços'!$A300:$W300)&gt;0,IF(OR(AND('Lista de Preços'!$L300&lt;&gt;"",NOT(ISNUMBER('Lista de Preços'!$L300))),AND('Lista de Preços'!$M300&lt;&gt;"",NOT(ISNUMBER('Lista de Preços'!$M300)))),"ERRO","OK"),"")</f>
        <v/>
      </c>
      <c r="E311" s="27" t="str">
        <f aca="false">IF(COUNTA('Lista de Preços'!$A300:$W300)&gt;0,IF(AND(ISNUMBER('Lista de Preços'!$L300),ISNUMBER('Lista de Preços'!$M300),'Lista de Preços'!$L300&gt;'Lista de Preços'!$M300),"ERRO","OK"),"")</f>
        <v/>
      </c>
      <c r="F311" s="27" t="str">
        <f aca="true">IF(COUNTA('Lista de Preços'!$A300:$W300)&gt;0,IF(AND('Lista de Preços'!$S300&lt;&gt;"",ISNUMBER('Lista de Preços'!$S300),'Lista de Preços'!$S300&lt;TODAY()),"ERRO","OK"),"")</f>
        <v/>
      </c>
      <c r="G311" s="27" t="str">
        <f aca="false">IF(COUNTA('Lista de Preços'!$A300:$W300)&gt;0,IF(AND('Lista de Preços'!$A300&lt;&gt;"",COUNTIF('Lista de Preços'!$A$4:$A$503,'Lista de Preços'!$A300)&gt;1),"ERRO","OK"),"")</f>
        <v/>
      </c>
      <c r="H311" s="27" t="str">
        <f aca="false">IF(COUNTA('Lista de Preços'!$A300:$W300)&gt;0,IF(AND('Lista de Preços'!$N300&lt;&gt;"",ISNUMBER('Lista de Preços'!$N300),OR('Lista de Preços'!$N300&lt;0,'Lista de Preços'!$N300&gt;0.5)),"ERRO","OK"),"")</f>
        <v/>
      </c>
      <c r="I311" s="27" t="str">
        <f aca="false">IF(COUNTA('Lista de Preços'!$A300:$W300)&gt;0,IF(OR($C311="ERRO",$D311="ERRO",$E311="ERRO",$F311="ERRO",$G311="ERRO",$H311="ERRO"),"FALHA","OK"),"")</f>
        <v/>
      </c>
    </row>
    <row r="312" customFormat="false" ht="15" hidden="false" customHeight="false" outlineLevel="0" collapsed="false">
      <c r="A312" s="26" t="n">
        <f aca="false">'Lista de Preços'!$A301</f>
        <v>0</v>
      </c>
      <c r="B312" s="26" t="n">
        <f aca="false">'Lista de Preços'!$B301</f>
        <v>0</v>
      </c>
      <c r="C312" s="27" t="str">
        <f aca="false">IF(COUNTA('Lista de Preços'!$A301:$W301)&gt;0,IF((COUNTBLANK('Lista de Preços'!$A301)+COUNTBLANK('Lista de Preços'!$B301)+COUNTBLANK('Lista de Preços'!$C301)+COUNTBLANK('Lista de Preços'!$D301)+COUNTBLANK('Lista de Preços'!$E301)+COUNTBLANK('Lista de Preços'!$F301)+COUNTBLANK('Lista de Preços'!$L301)+COUNTBLANK('Lista de Preços'!$M301)+COUNTBLANK('Lista de Preços'!$P301)+COUNTBLANK('Lista de Preços'!$U301)+COUNTBLANK('Lista de Preços'!$V301))&gt;0,"ERRO","OK"),"")</f>
        <v/>
      </c>
      <c r="D312" s="27" t="str">
        <f aca="false">IF(COUNTA('Lista de Preços'!$A301:$W301)&gt;0,IF(OR(AND('Lista de Preços'!$L301&lt;&gt;"",NOT(ISNUMBER('Lista de Preços'!$L301))),AND('Lista de Preços'!$M301&lt;&gt;"",NOT(ISNUMBER('Lista de Preços'!$M301)))),"ERRO","OK"),"")</f>
        <v/>
      </c>
      <c r="E312" s="27" t="str">
        <f aca="false">IF(COUNTA('Lista de Preços'!$A301:$W301)&gt;0,IF(AND(ISNUMBER('Lista de Preços'!$L301),ISNUMBER('Lista de Preços'!$M301),'Lista de Preços'!$L301&gt;'Lista de Preços'!$M301),"ERRO","OK"),"")</f>
        <v/>
      </c>
      <c r="F312" s="27" t="str">
        <f aca="true">IF(COUNTA('Lista de Preços'!$A301:$W301)&gt;0,IF(AND('Lista de Preços'!$S301&lt;&gt;"",ISNUMBER('Lista de Preços'!$S301),'Lista de Preços'!$S301&lt;TODAY()),"ERRO","OK"),"")</f>
        <v/>
      </c>
      <c r="G312" s="27" t="str">
        <f aca="false">IF(COUNTA('Lista de Preços'!$A301:$W301)&gt;0,IF(AND('Lista de Preços'!$A301&lt;&gt;"",COUNTIF('Lista de Preços'!$A$4:$A$503,'Lista de Preços'!$A301)&gt;1),"ERRO","OK"),"")</f>
        <v/>
      </c>
      <c r="H312" s="27" t="str">
        <f aca="false">IF(COUNTA('Lista de Preços'!$A301:$W301)&gt;0,IF(AND('Lista de Preços'!$N301&lt;&gt;"",ISNUMBER('Lista de Preços'!$N301),OR('Lista de Preços'!$N301&lt;0,'Lista de Preços'!$N301&gt;0.5)),"ERRO","OK"),"")</f>
        <v/>
      </c>
      <c r="I312" s="27" t="str">
        <f aca="false">IF(COUNTA('Lista de Preços'!$A301:$W301)&gt;0,IF(OR($C312="ERRO",$D312="ERRO",$E312="ERRO",$F312="ERRO",$G312="ERRO",$H312="ERRO"),"FALHA","OK"),"")</f>
        <v/>
      </c>
    </row>
    <row r="313" customFormat="false" ht="15" hidden="false" customHeight="false" outlineLevel="0" collapsed="false">
      <c r="A313" s="26" t="n">
        <f aca="false">'Lista de Preços'!$A302</f>
        <v>0</v>
      </c>
      <c r="B313" s="26" t="n">
        <f aca="false">'Lista de Preços'!$B302</f>
        <v>0</v>
      </c>
      <c r="C313" s="27" t="str">
        <f aca="false">IF(COUNTA('Lista de Preços'!$A302:$W302)&gt;0,IF((COUNTBLANK('Lista de Preços'!$A302)+COUNTBLANK('Lista de Preços'!$B302)+COUNTBLANK('Lista de Preços'!$C302)+COUNTBLANK('Lista de Preços'!$D302)+COUNTBLANK('Lista de Preços'!$E302)+COUNTBLANK('Lista de Preços'!$F302)+COUNTBLANK('Lista de Preços'!$L302)+COUNTBLANK('Lista de Preços'!$M302)+COUNTBLANK('Lista de Preços'!$P302)+COUNTBLANK('Lista de Preços'!$U302)+COUNTBLANK('Lista de Preços'!$V302))&gt;0,"ERRO","OK"),"")</f>
        <v/>
      </c>
      <c r="D313" s="27" t="str">
        <f aca="false">IF(COUNTA('Lista de Preços'!$A302:$W302)&gt;0,IF(OR(AND('Lista de Preços'!$L302&lt;&gt;"",NOT(ISNUMBER('Lista de Preços'!$L302))),AND('Lista de Preços'!$M302&lt;&gt;"",NOT(ISNUMBER('Lista de Preços'!$M302)))),"ERRO","OK"),"")</f>
        <v/>
      </c>
      <c r="E313" s="27" t="str">
        <f aca="false">IF(COUNTA('Lista de Preços'!$A302:$W302)&gt;0,IF(AND(ISNUMBER('Lista de Preços'!$L302),ISNUMBER('Lista de Preços'!$M302),'Lista de Preços'!$L302&gt;'Lista de Preços'!$M302),"ERRO","OK"),"")</f>
        <v/>
      </c>
      <c r="F313" s="27" t="str">
        <f aca="true">IF(COUNTA('Lista de Preços'!$A302:$W302)&gt;0,IF(AND('Lista de Preços'!$S302&lt;&gt;"",ISNUMBER('Lista de Preços'!$S302),'Lista de Preços'!$S302&lt;TODAY()),"ERRO","OK"),"")</f>
        <v/>
      </c>
      <c r="G313" s="27" t="str">
        <f aca="false">IF(COUNTA('Lista de Preços'!$A302:$W302)&gt;0,IF(AND('Lista de Preços'!$A302&lt;&gt;"",COUNTIF('Lista de Preços'!$A$4:$A$503,'Lista de Preços'!$A302)&gt;1),"ERRO","OK"),"")</f>
        <v/>
      </c>
      <c r="H313" s="27" t="str">
        <f aca="false">IF(COUNTA('Lista de Preços'!$A302:$W302)&gt;0,IF(AND('Lista de Preços'!$N302&lt;&gt;"",ISNUMBER('Lista de Preços'!$N302),OR('Lista de Preços'!$N302&lt;0,'Lista de Preços'!$N302&gt;0.5)),"ERRO","OK"),"")</f>
        <v/>
      </c>
      <c r="I313" s="27" t="str">
        <f aca="false">IF(COUNTA('Lista de Preços'!$A302:$W302)&gt;0,IF(OR($C313="ERRO",$D313="ERRO",$E313="ERRO",$F313="ERRO",$G313="ERRO",$H313="ERRO"),"FALHA","OK"),"")</f>
        <v/>
      </c>
    </row>
    <row r="314" customFormat="false" ht="15" hidden="false" customHeight="false" outlineLevel="0" collapsed="false">
      <c r="A314" s="26" t="n">
        <f aca="false">'Lista de Preços'!$A303</f>
        <v>0</v>
      </c>
      <c r="B314" s="26" t="n">
        <f aca="false">'Lista de Preços'!$B303</f>
        <v>0</v>
      </c>
      <c r="C314" s="27" t="str">
        <f aca="false">IF(COUNTA('Lista de Preços'!$A303:$W303)&gt;0,IF((COUNTBLANK('Lista de Preços'!$A303)+COUNTBLANK('Lista de Preços'!$B303)+COUNTBLANK('Lista de Preços'!$C303)+COUNTBLANK('Lista de Preços'!$D303)+COUNTBLANK('Lista de Preços'!$E303)+COUNTBLANK('Lista de Preços'!$F303)+COUNTBLANK('Lista de Preços'!$L303)+COUNTBLANK('Lista de Preços'!$M303)+COUNTBLANK('Lista de Preços'!$P303)+COUNTBLANK('Lista de Preços'!$U303)+COUNTBLANK('Lista de Preços'!$V303))&gt;0,"ERRO","OK"),"")</f>
        <v/>
      </c>
      <c r="D314" s="27" t="str">
        <f aca="false">IF(COUNTA('Lista de Preços'!$A303:$W303)&gt;0,IF(OR(AND('Lista de Preços'!$L303&lt;&gt;"",NOT(ISNUMBER('Lista de Preços'!$L303))),AND('Lista de Preços'!$M303&lt;&gt;"",NOT(ISNUMBER('Lista de Preços'!$M303)))),"ERRO","OK"),"")</f>
        <v/>
      </c>
      <c r="E314" s="27" t="str">
        <f aca="false">IF(COUNTA('Lista de Preços'!$A303:$W303)&gt;0,IF(AND(ISNUMBER('Lista de Preços'!$L303),ISNUMBER('Lista de Preços'!$M303),'Lista de Preços'!$L303&gt;'Lista de Preços'!$M303),"ERRO","OK"),"")</f>
        <v/>
      </c>
      <c r="F314" s="27" t="str">
        <f aca="true">IF(COUNTA('Lista de Preços'!$A303:$W303)&gt;0,IF(AND('Lista de Preços'!$S303&lt;&gt;"",ISNUMBER('Lista de Preços'!$S303),'Lista de Preços'!$S303&lt;TODAY()),"ERRO","OK"),"")</f>
        <v/>
      </c>
      <c r="G314" s="27" t="str">
        <f aca="false">IF(COUNTA('Lista de Preços'!$A303:$W303)&gt;0,IF(AND('Lista de Preços'!$A303&lt;&gt;"",COUNTIF('Lista de Preços'!$A$4:$A$503,'Lista de Preços'!$A303)&gt;1),"ERRO","OK"),"")</f>
        <v/>
      </c>
      <c r="H314" s="27" t="str">
        <f aca="false">IF(COUNTA('Lista de Preços'!$A303:$W303)&gt;0,IF(AND('Lista de Preços'!$N303&lt;&gt;"",ISNUMBER('Lista de Preços'!$N303),OR('Lista de Preços'!$N303&lt;0,'Lista de Preços'!$N303&gt;0.5)),"ERRO","OK"),"")</f>
        <v/>
      </c>
      <c r="I314" s="27" t="str">
        <f aca="false">IF(COUNTA('Lista de Preços'!$A303:$W303)&gt;0,IF(OR($C314="ERRO",$D314="ERRO",$E314="ERRO",$F314="ERRO",$G314="ERRO",$H314="ERRO"),"FALHA","OK"),"")</f>
        <v/>
      </c>
    </row>
    <row r="315" customFormat="false" ht="15" hidden="false" customHeight="false" outlineLevel="0" collapsed="false">
      <c r="A315" s="26" t="n">
        <f aca="false">'Lista de Preços'!$A304</f>
        <v>0</v>
      </c>
      <c r="B315" s="26" t="n">
        <f aca="false">'Lista de Preços'!$B304</f>
        <v>0</v>
      </c>
      <c r="C315" s="27" t="str">
        <f aca="false">IF(COUNTA('Lista de Preços'!$A304:$W304)&gt;0,IF((COUNTBLANK('Lista de Preços'!$A304)+COUNTBLANK('Lista de Preços'!$B304)+COUNTBLANK('Lista de Preços'!$C304)+COUNTBLANK('Lista de Preços'!$D304)+COUNTBLANK('Lista de Preços'!$E304)+COUNTBLANK('Lista de Preços'!$F304)+COUNTBLANK('Lista de Preços'!$L304)+COUNTBLANK('Lista de Preços'!$M304)+COUNTBLANK('Lista de Preços'!$P304)+COUNTBLANK('Lista de Preços'!$U304)+COUNTBLANK('Lista de Preços'!$V304))&gt;0,"ERRO","OK"),"")</f>
        <v/>
      </c>
      <c r="D315" s="27" t="str">
        <f aca="false">IF(COUNTA('Lista de Preços'!$A304:$W304)&gt;0,IF(OR(AND('Lista de Preços'!$L304&lt;&gt;"",NOT(ISNUMBER('Lista de Preços'!$L304))),AND('Lista de Preços'!$M304&lt;&gt;"",NOT(ISNUMBER('Lista de Preços'!$M304)))),"ERRO","OK"),"")</f>
        <v/>
      </c>
      <c r="E315" s="27" t="str">
        <f aca="false">IF(COUNTA('Lista de Preços'!$A304:$W304)&gt;0,IF(AND(ISNUMBER('Lista de Preços'!$L304),ISNUMBER('Lista de Preços'!$M304),'Lista de Preços'!$L304&gt;'Lista de Preços'!$M304),"ERRO","OK"),"")</f>
        <v/>
      </c>
      <c r="F315" s="27" t="str">
        <f aca="true">IF(COUNTA('Lista de Preços'!$A304:$W304)&gt;0,IF(AND('Lista de Preços'!$S304&lt;&gt;"",ISNUMBER('Lista de Preços'!$S304),'Lista de Preços'!$S304&lt;TODAY()),"ERRO","OK"),"")</f>
        <v/>
      </c>
      <c r="G315" s="27" t="str">
        <f aca="false">IF(COUNTA('Lista de Preços'!$A304:$W304)&gt;0,IF(AND('Lista de Preços'!$A304&lt;&gt;"",COUNTIF('Lista de Preços'!$A$4:$A$503,'Lista de Preços'!$A304)&gt;1),"ERRO","OK"),"")</f>
        <v/>
      </c>
      <c r="H315" s="27" t="str">
        <f aca="false">IF(COUNTA('Lista de Preços'!$A304:$W304)&gt;0,IF(AND('Lista de Preços'!$N304&lt;&gt;"",ISNUMBER('Lista de Preços'!$N304),OR('Lista de Preços'!$N304&lt;0,'Lista de Preços'!$N304&gt;0.5)),"ERRO","OK"),"")</f>
        <v/>
      </c>
      <c r="I315" s="27" t="str">
        <f aca="false">IF(COUNTA('Lista de Preços'!$A304:$W304)&gt;0,IF(OR($C315="ERRO",$D315="ERRO",$E315="ERRO",$F315="ERRO",$G315="ERRO",$H315="ERRO"),"FALHA","OK"),"")</f>
        <v/>
      </c>
    </row>
    <row r="316" customFormat="false" ht="15" hidden="false" customHeight="false" outlineLevel="0" collapsed="false">
      <c r="A316" s="26" t="n">
        <f aca="false">'Lista de Preços'!$A305</f>
        <v>0</v>
      </c>
      <c r="B316" s="26" t="n">
        <f aca="false">'Lista de Preços'!$B305</f>
        <v>0</v>
      </c>
      <c r="C316" s="27" t="str">
        <f aca="false">IF(COUNTA('Lista de Preços'!$A305:$W305)&gt;0,IF((COUNTBLANK('Lista de Preços'!$A305)+COUNTBLANK('Lista de Preços'!$B305)+COUNTBLANK('Lista de Preços'!$C305)+COUNTBLANK('Lista de Preços'!$D305)+COUNTBLANK('Lista de Preços'!$E305)+COUNTBLANK('Lista de Preços'!$F305)+COUNTBLANK('Lista de Preços'!$L305)+COUNTBLANK('Lista de Preços'!$M305)+COUNTBLANK('Lista de Preços'!$P305)+COUNTBLANK('Lista de Preços'!$U305)+COUNTBLANK('Lista de Preços'!$V305))&gt;0,"ERRO","OK"),"")</f>
        <v/>
      </c>
      <c r="D316" s="27" t="str">
        <f aca="false">IF(COUNTA('Lista de Preços'!$A305:$W305)&gt;0,IF(OR(AND('Lista de Preços'!$L305&lt;&gt;"",NOT(ISNUMBER('Lista de Preços'!$L305))),AND('Lista de Preços'!$M305&lt;&gt;"",NOT(ISNUMBER('Lista de Preços'!$M305)))),"ERRO","OK"),"")</f>
        <v/>
      </c>
      <c r="E316" s="27" t="str">
        <f aca="false">IF(COUNTA('Lista de Preços'!$A305:$W305)&gt;0,IF(AND(ISNUMBER('Lista de Preços'!$L305),ISNUMBER('Lista de Preços'!$M305),'Lista de Preços'!$L305&gt;'Lista de Preços'!$M305),"ERRO","OK"),"")</f>
        <v/>
      </c>
      <c r="F316" s="27" t="str">
        <f aca="true">IF(COUNTA('Lista de Preços'!$A305:$W305)&gt;0,IF(AND('Lista de Preços'!$S305&lt;&gt;"",ISNUMBER('Lista de Preços'!$S305),'Lista de Preços'!$S305&lt;TODAY()),"ERRO","OK"),"")</f>
        <v/>
      </c>
      <c r="G316" s="27" t="str">
        <f aca="false">IF(COUNTA('Lista de Preços'!$A305:$W305)&gt;0,IF(AND('Lista de Preços'!$A305&lt;&gt;"",COUNTIF('Lista de Preços'!$A$4:$A$503,'Lista de Preços'!$A305)&gt;1),"ERRO","OK"),"")</f>
        <v/>
      </c>
      <c r="H316" s="27" t="str">
        <f aca="false">IF(COUNTA('Lista de Preços'!$A305:$W305)&gt;0,IF(AND('Lista de Preços'!$N305&lt;&gt;"",ISNUMBER('Lista de Preços'!$N305),OR('Lista de Preços'!$N305&lt;0,'Lista de Preços'!$N305&gt;0.5)),"ERRO","OK"),"")</f>
        <v/>
      </c>
      <c r="I316" s="27" t="str">
        <f aca="false">IF(COUNTA('Lista de Preços'!$A305:$W305)&gt;0,IF(OR($C316="ERRO",$D316="ERRO",$E316="ERRO",$F316="ERRO",$G316="ERRO",$H316="ERRO"),"FALHA","OK"),"")</f>
        <v/>
      </c>
    </row>
    <row r="317" customFormat="false" ht="15" hidden="false" customHeight="false" outlineLevel="0" collapsed="false">
      <c r="A317" s="26" t="n">
        <f aca="false">'Lista de Preços'!$A306</f>
        <v>0</v>
      </c>
      <c r="B317" s="26" t="n">
        <f aca="false">'Lista de Preços'!$B306</f>
        <v>0</v>
      </c>
      <c r="C317" s="27" t="str">
        <f aca="false">IF(COUNTA('Lista de Preços'!$A306:$W306)&gt;0,IF((COUNTBLANK('Lista de Preços'!$A306)+COUNTBLANK('Lista de Preços'!$B306)+COUNTBLANK('Lista de Preços'!$C306)+COUNTBLANK('Lista de Preços'!$D306)+COUNTBLANK('Lista de Preços'!$E306)+COUNTBLANK('Lista de Preços'!$F306)+COUNTBLANK('Lista de Preços'!$L306)+COUNTBLANK('Lista de Preços'!$M306)+COUNTBLANK('Lista de Preços'!$P306)+COUNTBLANK('Lista de Preços'!$U306)+COUNTBLANK('Lista de Preços'!$V306))&gt;0,"ERRO","OK"),"")</f>
        <v/>
      </c>
      <c r="D317" s="27" t="str">
        <f aca="false">IF(COUNTA('Lista de Preços'!$A306:$W306)&gt;0,IF(OR(AND('Lista de Preços'!$L306&lt;&gt;"",NOT(ISNUMBER('Lista de Preços'!$L306))),AND('Lista de Preços'!$M306&lt;&gt;"",NOT(ISNUMBER('Lista de Preços'!$M306)))),"ERRO","OK"),"")</f>
        <v/>
      </c>
      <c r="E317" s="27" t="str">
        <f aca="false">IF(COUNTA('Lista de Preços'!$A306:$W306)&gt;0,IF(AND(ISNUMBER('Lista de Preços'!$L306),ISNUMBER('Lista de Preços'!$M306),'Lista de Preços'!$L306&gt;'Lista de Preços'!$M306),"ERRO","OK"),"")</f>
        <v/>
      </c>
      <c r="F317" s="27" t="str">
        <f aca="true">IF(COUNTA('Lista de Preços'!$A306:$W306)&gt;0,IF(AND('Lista de Preços'!$S306&lt;&gt;"",ISNUMBER('Lista de Preços'!$S306),'Lista de Preços'!$S306&lt;TODAY()),"ERRO","OK"),"")</f>
        <v/>
      </c>
      <c r="G317" s="27" t="str">
        <f aca="false">IF(COUNTA('Lista de Preços'!$A306:$W306)&gt;0,IF(AND('Lista de Preços'!$A306&lt;&gt;"",COUNTIF('Lista de Preços'!$A$4:$A$503,'Lista de Preços'!$A306)&gt;1),"ERRO","OK"),"")</f>
        <v/>
      </c>
      <c r="H317" s="27" t="str">
        <f aca="false">IF(COUNTA('Lista de Preços'!$A306:$W306)&gt;0,IF(AND('Lista de Preços'!$N306&lt;&gt;"",ISNUMBER('Lista de Preços'!$N306),OR('Lista de Preços'!$N306&lt;0,'Lista de Preços'!$N306&gt;0.5)),"ERRO","OK"),"")</f>
        <v/>
      </c>
      <c r="I317" s="27" t="str">
        <f aca="false">IF(COUNTA('Lista de Preços'!$A306:$W306)&gt;0,IF(OR($C317="ERRO",$D317="ERRO",$E317="ERRO",$F317="ERRO",$G317="ERRO",$H317="ERRO"),"FALHA","OK"),"")</f>
        <v/>
      </c>
    </row>
    <row r="318" customFormat="false" ht="15" hidden="false" customHeight="false" outlineLevel="0" collapsed="false">
      <c r="A318" s="26" t="n">
        <f aca="false">'Lista de Preços'!$A307</f>
        <v>0</v>
      </c>
      <c r="B318" s="26" t="n">
        <f aca="false">'Lista de Preços'!$B307</f>
        <v>0</v>
      </c>
      <c r="C318" s="27" t="str">
        <f aca="false">IF(COUNTA('Lista de Preços'!$A307:$W307)&gt;0,IF((COUNTBLANK('Lista de Preços'!$A307)+COUNTBLANK('Lista de Preços'!$B307)+COUNTBLANK('Lista de Preços'!$C307)+COUNTBLANK('Lista de Preços'!$D307)+COUNTBLANK('Lista de Preços'!$E307)+COUNTBLANK('Lista de Preços'!$F307)+COUNTBLANK('Lista de Preços'!$L307)+COUNTBLANK('Lista de Preços'!$M307)+COUNTBLANK('Lista de Preços'!$P307)+COUNTBLANK('Lista de Preços'!$U307)+COUNTBLANK('Lista de Preços'!$V307))&gt;0,"ERRO","OK"),"")</f>
        <v/>
      </c>
      <c r="D318" s="27" t="str">
        <f aca="false">IF(COUNTA('Lista de Preços'!$A307:$W307)&gt;0,IF(OR(AND('Lista de Preços'!$L307&lt;&gt;"",NOT(ISNUMBER('Lista de Preços'!$L307))),AND('Lista de Preços'!$M307&lt;&gt;"",NOT(ISNUMBER('Lista de Preços'!$M307)))),"ERRO","OK"),"")</f>
        <v/>
      </c>
      <c r="E318" s="27" t="str">
        <f aca="false">IF(COUNTA('Lista de Preços'!$A307:$W307)&gt;0,IF(AND(ISNUMBER('Lista de Preços'!$L307),ISNUMBER('Lista de Preços'!$M307),'Lista de Preços'!$L307&gt;'Lista de Preços'!$M307),"ERRO","OK"),"")</f>
        <v/>
      </c>
      <c r="F318" s="27" t="str">
        <f aca="true">IF(COUNTA('Lista de Preços'!$A307:$W307)&gt;0,IF(AND('Lista de Preços'!$S307&lt;&gt;"",ISNUMBER('Lista de Preços'!$S307),'Lista de Preços'!$S307&lt;TODAY()),"ERRO","OK"),"")</f>
        <v/>
      </c>
      <c r="G318" s="27" t="str">
        <f aca="false">IF(COUNTA('Lista de Preços'!$A307:$W307)&gt;0,IF(AND('Lista de Preços'!$A307&lt;&gt;"",COUNTIF('Lista de Preços'!$A$4:$A$503,'Lista de Preços'!$A307)&gt;1),"ERRO","OK"),"")</f>
        <v/>
      </c>
      <c r="H318" s="27" t="str">
        <f aca="false">IF(COUNTA('Lista de Preços'!$A307:$W307)&gt;0,IF(AND('Lista de Preços'!$N307&lt;&gt;"",ISNUMBER('Lista de Preços'!$N307),OR('Lista de Preços'!$N307&lt;0,'Lista de Preços'!$N307&gt;0.5)),"ERRO","OK"),"")</f>
        <v/>
      </c>
      <c r="I318" s="27" t="str">
        <f aca="false">IF(COUNTA('Lista de Preços'!$A307:$W307)&gt;0,IF(OR($C318="ERRO",$D318="ERRO",$E318="ERRO",$F318="ERRO",$G318="ERRO",$H318="ERRO"),"FALHA","OK"),"")</f>
        <v/>
      </c>
    </row>
    <row r="319" customFormat="false" ht="15" hidden="false" customHeight="false" outlineLevel="0" collapsed="false">
      <c r="A319" s="26" t="n">
        <f aca="false">'Lista de Preços'!$A308</f>
        <v>0</v>
      </c>
      <c r="B319" s="26" t="n">
        <f aca="false">'Lista de Preços'!$B308</f>
        <v>0</v>
      </c>
      <c r="C319" s="27" t="str">
        <f aca="false">IF(COUNTA('Lista de Preços'!$A308:$W308)&gt;0,IF((COUNTBLANK('Lista de Preços'!$A308)+COUNTBLANK('Lista de Preços'!$B308)+COUNTBLANK('Lista de Preços'!$C308)+COUNTBLANK('Lista de Preços'!$D308)+COUNTBLANK('Lista de Preços'!$E308)+COUNTBLANK('Lista de Preços'!$F308)+COUNTBLANK('Lista de Preços'!$L308)+COUNTBLANK('Lista de Preços'!$M308)+COUNTBLANK('Lista de Preços'!$P308)+COUNTBLANK('Lista de Preços'!$U308)+COUNTBLANK('Lista de Preços'!$V308))&gt;0,"ERRO","OK"),"")</f>
        <v/>
      </c>
      <c r="D319" s="27" t="str">
        <f aca="false">IF(COUNTA('Lista de Preços'!$A308:$W308)&gt;0,IF(OR(AND('Lista de Preços'!$L308&lt;&gt;"",NOT(ISNUMBER('Lista de Preços'!$L308))),AND('Lista de Preços'!$M308&lt;&gt;"",NOT(ISNUMBER('Lista de Preços'!$M308)))),"ERRO","OK"),"")</f>
        <v/>
      </c>
      <c r="E319" s="27" t="str">
        <f aca="false">IF(COUNTA('Lista de Preços'!$A308:$W308)&gt;0,IF(AND(ISNUMBER('Lista de Preços'!$L308),ISNUMBER('Lista de Preços'!$M308),'Lista de Preços'!$L308&gt;'Lista de Preços'!$M308),"ERRO","OK"),"")</f>
        <v/>
      </c>
      <c r="F319" s="27" t="str">
        <f aca="true">IF(COUNTA('Lista de Preços'!$A308:$W308)&gt;0,IF(AND('Lista de Preços'!$S308&lt;&gt;"",ISNUMBER('Lista de Preços'!$S308),'Lista de Preços'!$S308&lt;TODAY()),"ERRO","OK"),"")</f>
        <v/>
      </c>
      <c r="G319" s="27" t="str">
        <f aca="false">IF(COUNTA('Lista de Preços'!$A308:$W308)&gt;0,IF(AND('Lista de Preços'!$A308&lt;&gt;"",COUNTIF('Lista de Preços'!$A$4:$A$503,'Lista de Preços'!$A308)&gt;1),"ERRO","OK"),"")</f>
        <v/>
      </c>
      <c r="H319" s="27" t="str">
        <f aca="false">IF(COUNTA('Lista de Preços'!$A308:$W308)&gt;0,IF(AND('Lista de Preços'!$N308&lt;&gt;"",ISNUMBER('Lista de Preços'!$N308),OR('Lista de Preços'!$N308&lt;0,'Lista de Preços'!$N308&gt;0.5)),"ERRO","OK"),"")</f>
        <v/>
      </c>
      <c r="I319" s="27" t="str">
        <f aca="false">IF(COUNTA('Lista de Preços'!$A308:$W308)&gt;0,IF(OR($C319="ERRO",$D319="ERRO",$E319="ERRO",$F319="ERRO",$G319="ERRO",$H319="ERRO"),"FALHA","OK"),"")</f>
        <v/>
      </c>
    </row>
    <row r="320" customFormat="false" ht="15" hidden="false" customHeight="false" outlineLevel="0" collapsed="false">
      <c r="A320" s="26" t="n">
        <f aca="false">'Lista de Preços'!$A309</f>
        <v>0</v>
      </c>
      <c r="B320" s="26" t="n">
        <f aca="false">'Lista de Preços'!$B309</f>
        <v>0</v>
      </c>
      <c r="C320" s="27" t="str">
        <f aca="false">IF(COUNTA('Lista de Preços'!$A309:$W309)&gt;0,IF((COUNTBLANK('Lista de Preços'!$A309)+COUNTBLANK('Lista de Preços'!$B309)+COUNTBLANK('Lista de Preços'!$C309)+COUNTBLANK('Lista de Preços'!$D309)+COUNTBLANK('Lista de Preços'!$E309)+COUNTBLANK('Lista de Preços'!$F309)+COUNTBLANK('Lista de Preços'!$L309)+COUNTBLANK('Lista de Preços'!$M309)+COUNTBLANK('Lista de Preços'!$P309)+COUNTBLANK('Lista de Preços'!$U309)+COUNTBLANK('Lista de Preços'!$V309))&gt;0,"ERRO","OK"),"")</f>
        <v/>
      </c>
      <c r="D320" s="27" t="str">
        <f aca="false">IF(COUNTA('Lista de Preços'!$A309:$W309)&gt;0,IF(OR(AND('Lista de Preços'!$L309&lt;&gt;"",NOT(ISNUMBER('Lista de Preços'!$L309))),AND('Lista de Preços'!$M309&lt;&gt;"",NOT(ISNUMBER('Lista de Preços'!$M309)))),"ERRO","OK"),"")</f>
        <v/>
      </c>
      <c r="E320" s="27" t="str">
        <f aca="false">IF(COUNTA('Lista de Preços'!$A309:$W309)&gt;0,IF(AND(ISNUMBER('Lista de Preços'!$L309),ISNUMBER('Lista de Preços'!$M309),'Lista de Preços'!$L309&gt;'Lista de Preços'!$M309),"ERRO","OK"),"")</f>
        <v/>
      </c>
      <c r="F320" s="27" t="str">
        <f aca="true">IF(COUNTA('Lista de Preços'!$A309:$W309)&gt;0,IF(AND('Lista de Preços'!$S309&lt;&gt;"",ISNUMBER('Lista de Preços'!$S309),'Lista de Preços'!$S309&lt;TODAY()),"ERRO","OK"),"")</f>
        <v/>
      </c>
      <c r="G320" s="27" t="str">
        <f aca="false">IF(COUNTA('Lista de Preços'!$A309:$W309)&gt;0,IF(AND('Lista de Preços'!$A309&lt;&gt;"",COUNTIF('Lista de Preços'!$A$4:$A$503,'Lista de Preços'!$A309)&gt;1),"ERRO","OK"),"")</f>
        <v/>
      </c>
      <c r="H320" s="27" t="str">
        <f aca="false">IF(COUNTA('Lista de Preços'!$A309:$W309)&gt;0,IF(AND('Lista de Preços'!$N309&lt;&gt;"",ISNUMBER('Lista de Preços'!$N309),OR('Lista de Preços'!$N309&lt;0,'Lista de Preços'!$N309&gt;0.5)),"ERRO","OK"),"")</f>
        <v/>
      </c>
      <c r="I320" s="27" t="str">
        <f aca="false">IF(COUNTA('Lista de Preços'!$A309:$W309)&gt;0,IF(OR($C320="ERRO",$D320="ERRO",$E320="ERRO",$F320="ERRO",$G320="ERRO",$H320="ERRO"),"FALHA","OK"),"")</f>
        <v/>
      </c>
    </row>
    <row r="321" customFormat="false" ht="15" hidden="false" customHeight="false" outlineLevel="0" collapsed="false">
      <c r="A321" s="26" t="n">
        <f aca="false">'Lista de Preços'!$A310</f>
        <v>0</v>
      </c>
      <c r="B321" s="26" t="n">
        <f aca="false">'Lista de Preços'!$B310</f>
        <v>0</v>
      </c>
      <c r="C321" s="27" t="str">
        <f aca="false">IF(COUNTA('Lista de Preços'!$A310:$W310)&gt;0,IF((COUNTBLANK('Lista de Preços'!$A310)+COUNTBLANK('Lista de Preços'!$B310)+COUNTBLANK('Lista de Preços'!$C310)+COUNTBLANK('Lista de Preços'!$D310)+COUNTBLANK('Lista de Preços'!$E310)+COUNTBLANK('Lista de Preços'!$F310)+COUNTBLANK('Lista de Preços'!$L310)+COUNTBLANK('Lista de Preços'!$M310)+COUNTBLANK('Lista de Preços'!$P310)+COUNTBLANK('Lista de Preços'!$U310)+COUNTBLANK('Lista de Preços'!$V310))&gt;0,"ERRO","OK"),"")</f>
        <v/>
      </c>
      <c r="D321" s="27" t="str">
        <f aca="false">IF(COUNTA('Lista de Preços'!$A310:$W310)&gt;0,IF(OR(AND('Lista de Preços'!$L310&lt;&gt;"",NOT(ISNUMBER('Lista de Preços'!$L310))),AND('Lista de Preços'!$M310&lt;&gt;"",NOT(ISNUMBER('Lista de Preços'!$M310)))),"ERRO","OK"),"")</f>
        <v/>
      </c>
      <c r="E321" s="27" t="str">
        <f aca="false">IF(COUNTA('Lista de Preços'!$A310:$W310)&gt;0,IF(AND(ISNUMBER('Lista de Preços'!$L310),ISNUMBER('Lista de Preços'!$M310),'Lista de Preços'!$L310&gt;'Lista de Preços'!$M310),"ERRO","OK"),"")</f>
        <v/>
      </c>
      <c r="F321" s="27" t="str">
        <f aca="true">IF(COUNTA('Lista de Preços'!$A310:$W310)&gt;0,IF(AND('Lista de Preços'!$S310&lt;&gt;"",ISNUMBER('Lista de Preços'!$S310),'Lista de Preços'!$S310&lt;TODAY()),"ERRO","OK"),"")</f>
        <v/>
      </c>
      <c r="G321" s="27" t="str">
        <f aca="false">IF(COUNTA('Lista de Preços'!$A310:$W310)&gt;0,IF(AND('Lista de Preços'!$A310&lt;&gt;"",COUNTIF('Lista de Preços'!$A$4:$A$503,'Lista de Preços'!$A310)&gt;1),"ERRO","OK"),"")</f>
        <v/>
      </c>
      <c r="H321" s="27" t="str">
        <f aca="false">IF(COUNTA('Lista de Preços'!$A310:$W310)&gt;0,IF(AND('Lista de Preços'!$N310&lt;&gt;"",ISNUMBER('Lista de Preços'!$N310),OR('Lista de Preços'!$N310&lt;0,'Lista de Preços'!$N310&gt;0.5)),"ERRO","OK"),"")</f>
        <v/>
      </c>
      <c r="I321" s="27" t="str">
        <f aca="false">IF(COUNTA('Lista de Preços'!$A310:$W310)&gt;0,IF(OR($C321="ERRO",$D321="ERRO",$E321="ERRO",$F321="ERRO",$G321="ERRO",$H321="ERRO"),"FALHA","OK"),"")</f>
        <v/>
      </c>
    </row>
    <row r="322" customFormat="false" ht="15" hidden="false" customHeight="false" outlineLevel="0" collapsed="false">
      <c r="A322" s="26" t="n">
        <f aca="false">'Lista de Preços'!$A311</f>
        <v>0</v>
      </c>
      <c r="B322" s="26" t="n">
        <f aca="false">'Lista de Preços'!$B311</f>
        <v>0</v>
      </c>
      <c r="C322" s="27" t="str">
        <f aca="false">IF(COUNTA('Lista de Preços'!$A311:$W311)&gt;0,IF((COUNTBLANK('Lista de Preços'!$A311)+COUNTBLANK('Lista de Preços'!$B311)+COUNTBLANK('Lista de Preços'!$C311)+COUNTBLANK('Lista de Preços'!$D311)+COUNTBLANK('Lista de Preços'!$E311)+COUNTBLANK('Lista de Preços'!$F311)+COUNTBLANK('Lista de Preços'!$L311)+COUNTBLANK('Lista de Preços'!$M311)+COUNTBLANK('Lista de Preços'!$P311)+COUNTBLANK('Lista de Preços'!$U311)+COUNTBLANK('Lista de Preços'!$V311))&gt;0,"ERRO","OK"),"")</f>
        <v/>
      </c>
      <c r="D322" s="27" t="str">
        <f aca="false">IF(COUNTA('Lista de Preços'!$A311:$W311)&gt;0,IF(OR(AND('Lista de Preços'!$L311&lt;&gt;"",NOT(ISNUMBER('Lista de Preços'!$L311))),AND('Lista de Preços'!$M311&lt;&gt;"",NOT(ISNUMBER('Lista de Preços'!$M311)))),"ERRO","OK"),"")</f>
        <v/>
      </c>
      <c r="E322" s="27" t="str">
        <f aca="false">IF(COUNTA('Lista de Preços'!$A311:$W311)&gt;0,IF(AND(ISNUMBER('Lista de Preços'!$L311),ISNUMBER('Lista de Preços'!$M311),'Lista de Preços'!$L311&gt;'Lista de Preços'!$M311),"ERRO","OK"),"")</f>
        <v/>
      </c>
      <c r="F322" s="27" t="str">
        <f aca="true">IF(COUNTA('Lista de Preços'!$A311:$W311)&gt;0,IF(AND('Lista de Preços'!$S311&lt;&gt;"",ISNUMBER('Lista de Preços'!$S311),'Lista de Preços'!$S311&lt;TODAY()),"ERRO","OK"),"")</f>
        <v/>
      </c>
      <c r="G322" s="27" t="str">
        <f aca="false">IF(COUNTA('Lista de Preços'!$A311:$W311)&gt;0,IF(AND('Lista de Preços'!$A311&lt;&gt;"",COUNTIF('Lista de Preços'!$A$4:$A$503,'Lista de Preços'!$A311)&gt;1),"ERRO","OK"),"")</f>
        <v/>
      </c>
      <c r="H322" s="27" t="str">
        <f aca="false">IF(COUNTA('Lista de Preços'!$A311:$W311)&gt;0,IF(AND('Lista de Preços'!$N311&lt;&gt;"",ISNUMBER('Lista de Preços'!$N311),OR('Lista de Preços'!$N311&lt;0,'Lista de Preços'!$N311&gt;0.5)),"ERRO","OK"),"")</f>
        <v/>
      </c>
      <c r="I322" s="27" t="str">
        <f aca="false">IF(COUNTA('Lista de Preços'!$A311:$W311)&gt;0,IF(OR($C322="ERRO",$D322="ERRO",$E322="ERRO",$F322="ERRO",$G322="ERRO",$H322="ERRO"),"FALHA","OK"),"")</f>
        <v/>
      </c>
    </row>
    <row r="323" customFormat="false" ht="15" hidden="false" customHeight="false" outlineLevel="0" collapsed="false">
      <c r="A323" s="26" t="n">
        <f aca="false">'Lista de Preços'!$A312</f>
        <v>0</v>
      </c>
      <c r="B323" s="26" t="n">
        <f aca="false">'Lista de Preços'!$B312</f>
        <v>0</v>
      </c>
      <c r="C323" s="27" t="str">
        <f aca="false">IF(COUNTA('Lista de Preços'!$A312:$W312)&gt;0,IF((COUNTBLANK('Lista de Preços'!$A312)+COUNTBLANK('Lista de Preços'!$B312)+COUNTBLANK('Lista de Preços'!$C312)+COUNTBLANK('Lista de Preços'!$D312)+COUNTBLANK('Lista de Preços'!$E312)+COUNTBLANK('Lista de Preços'!$F312)+COUNTBLANK('Lista de Preços'!$L312)+COUNTBLANK('Lista de Preços'!$M312)+COUNTBLANK('Lista de Preços'!$P312)+COUNTBLANK('Lista de Preços'!$U312)+COUNTBLANK('Lista de Preços'!$V312))&gt;0,"ERRO","OK"),"")</f>
        <v/>
      </c>
      <c r="D323" s="27" t="str">
        <f aca="false">IF(COUNTA('Lista de Preços'!$A312:$W312)&gt;0,IF(OR(AND('Lista de Preços'!$L312&lt;&gt;"",NOT(ISNUMBER('Lista de Preços'!$L312))),AND('Lista de Preços'!$M312&lt;&gt;"",NOT(ISNUMBER('Lista de Preços'!$M312)))),"ERRO","OK"),"")</f>
        <v/>
      </c>
      <c r="E323" s="27" t="str">
        <f aca="false">IF(COUNTA('Lista de Preços'!$A312:$W312)&gt;0,IF(AND(ISNUMBER('Lista de Preços'!$L312),ISNUMBER('Lista de Preços'!$M312),'Lista de Preços'!$L312&gt;'Lista de Preços'!$M312),"ERRO","OK"),"")</f>
        <v/>
      </c>
      <c r="F323" s="27" t="str">
        <f aca="true">IF(COUNTA('Lista de Preços'!$A312:$W312)&gt;0,IF(AND('Lista de Preços'!$S312&lt;&gt;"",ISNUMBER('Lista de Preços'!$S312),'Lista de Preços'!$S312&lt;TODAY()),"ERRO","OK"),"")</f>
        <v/>
      </c>
      <c r="G323" s="27" t="str">
        <f aca="false">IF(COUNTA('Lista de Preços'!$A312:$W312)&gt;0,IF(AND('Lista de Preços'!$A312&lt;&gt;"",COUNTIF('Lista de Preços'!$A$4:$A$503,'Lista de Preços'!$A312)&gt;1),"ERRO","OK"),"")</f>
        <v/>
      </c>
      <c r="H323" s="27" t="str">
        <f aca="false">IF(COUNTA('Lista de Preços'!$A312:$W312)&gt;0,IF(AND('Lista de Preços'!$N312&lt;&gt;"",ISNUMBER('Lista de Preços'!$N312),OR('Lista de Preços'!$N312&lt;0,'Lista de Preços'!$N312&gt;0.5)),"ERRO","OK"),"")</f>
        <v/>
      </c>
      <c r="I323" s="27" t="str">
        <f aca="false">IF(COUNTA('Lista de Preços'!$A312:$W312)&gt;0,IF(OR($C323="ERRO",$D323="ERRO",$E323="ERRO",$F323="ERRO",$G323="ERRO",$H323="ERRO"),"FALHA","OK"),"")</f>
        <v/>
      </c>
    </row>
    <row r="324" customFormat="false" ht="15" hidden="false" customHeight="false" outlineLevel="0" collapsed="false">
      <c r="A324" s="26" t="n">
        <f aca="false">'Lista de Preços'!$A313</f>
        <v>0</v>
      </c>
      <c r="B324" s="26" t="n">
        <f aca="false">'Lista de Preços'!$B313</f>
        <v>0</v>
      </c>
      <c r="C324" s="27" t="str">
        <f aca="false">IF(COUNTA('Lista de Preços'!$A313:$W313)&gt;0,IF((COUNTBLANK('Lista de Preços'!$A313)+COUNTBLANK('Lista de Preços'!$B313)+COUNTBLANK('Lista de Preços'!$C313)+COUNTBLANK('Lista de Preços'!$D313)+COUNTBLANK('Lista de Preços'!$E313)+COUNTBLANK('Lista de Preços'!$F313)+COUNTBLANK('Lista de Preços'!$L313)+COUNTBLANK('Lista de Preços'!$M313)+COUNTBLANK('Lista de Preços'!$P313)+COUNTBLANK('Lista de Preços'!$U313)+COUNTBLANK('Lista de Preços'!$V313))&gt;0,"ERRO","OK"),"")</f>
        <v/>
      </c>
      <c r="D324" s="27" t="str">
        <f aca="false">IF(COUNTA('Lista de Preços'!$A313:$W313)&gt;0,IF(OR(AND('Lista de Preços'!$L313&lt;&gt;"",NOT(ISNUMBER('Lista de Preços'!$L313))),AND('Lista de Preços'!$M313&lt;&gt;"",NOT(ISNUMBER('Lista de Preços'!$M313)))),"ERRO","OK"),"")</f>
        <v/>
      </c>
      <c r="E324" s="27" t="str">
        <f aca="false">IF(COUNTA('Lista de Preços'!$A313:$W313)&gt;0,IF(AND(ISNUMBER('Lista de Preços'!$L313),ISNUMBER('Lista de Preços'!$M313),'Lista de Preços'!$L313&gt;'Lista de Preços'!$M313),"ERRO","OK"),"")</f>
        <v/>
      </c>
      <c r="F324" s="27" t="str">
        <f aca="true">IF(COUNTA('Lista de Preços'!$A313:$W313)&gt;0,IF(AND('Lista de Preços'!$S313&lt;&gt;"",ISNUMBER('Lista de Preços'!$S313),'Lista de Preços'!$S313&lt;TODAY()),"ERRO","OK"),"")</f>
        <v/>
      </c>
      <c r="G324" s="27" t="str">
        <f aca="false">IF(COUNTA('Lista de Preços'!$A313:$W313)&gt;0,IF(AND('Lista de Preços'!$A313&lt;&gt;"",COUNTIF('Lista de Preços'!$A$4:$A$503,'Lista de Preços'!$A313)&gt;1),"ERRO","OK"),"")</f>
        <v/>
      </c>
      <c r="H324" s="27" t="str">
        <f aca="false">IF(COUNTA('Lista de Preços'!$A313:$W313)&gt;0,IF(AND('Lista de Preços'!$N313&lt;&gt;"",ISNUMBER('Lista de Preços'!$N313),OR('Lista de Preços'!$N313&lt;0,'Lista de Preços'!$N313&gt;0.5)),"ERRO","OK"),"")</f>
        <v/>
      </c>
      <c r="I324" s="27" t="str">
        <f aca="false">IF(COUNTA('Lista de Preços'!$A313:$W313)&gt;0,IF(OR($C324="ERRO",$D324="ERRO",$E324="ERRO",$F324="ERRO",$G324="ERRO",$H324="ERRO"),"FALHA","OK"),"")</f>
        <v/>
      </c>
    </row>
    <row r="325" customFormat="false" ht="15" hidden="false" customHeight="false" outlineLevel="0" collapsed="false">
      <c r="A325" s="26" t="n">
        <f aca="false">'Lista de Preços'!$A314</f>
        <v>0</v>
      </c>
      <c r="B325" s="26" t="n">
        <f aca="false">'Lista de Preços'!$B314</f>
        <v>0</v>
      </c>
      <c r="C325" s="27" t="str">
        <f aca="false">IF(COUNTA('Lista de Preços'!$A314:$W314)&gt;0,IF((COUNTBLANK('Lista de Preços'!$A314)+COUNTBLANK('Lista de Preços'!$B314)+COUNTBLANK('Lista de Preços'!$C314)+COUNTBLANK('Lista de Preços'!$D314)+COUNTBLANK('Lista de Preços'!$E314)+COUNTBLANK('Lista de Preços'!$F314)+COUNTBLANK('Lista de Preços'!$L314)+COUNTBLANK('Lista de Preços'!$M314)+COUNTBLANK('Lista de Preços'!$P314)+COUNTBLANK('Lista de Preços'!$U314)+COUNTBLANK('Lista de Preços'!$V314))&gt;0,"ERRO","OK"),"")</f>
        <v/>
      </c>
      <c r="D325" s="27" t="str">
        <f aca="false">IF(COUNTA('Lista de Preços'!$A314:$W314)&gt;0,IF(OR(AND('Lista de Preços'!$L314&lt;&gt;"",NOT(ISNUMBER('Lista de Preços'!$L314))),AND('Lista de Preços'!$M314&lt;&gt;"",NOT(ISNUMBER('Lista de Preços'!$M314)))),"ERRO","OK"),"")</f>
        <v/>
      </c>
      <c r="E325" s="27" t="str">
        <f aca="false">IF(COUNTA('Lista de Preços'!$A314:$W314)&gt;0,IF(AND(ISNUMBER('Lista de Preços'!$L314),ISNUMBER('Lista de Preços'!$M314),'Lista de Preços'!$L314&gt;'Lista de Preços'!$M314),"ERRO","OK"),"")</f>
        <v/>
      </c>
      <c r="F325" s="27" t="str">
        <f aca="true">IF(COUNTA('Lista de Preços'!$A314:$W314)&gt;0,IF(AND('Lista de Preços'!$S314&lt;&gt;"",ISNUMBER('Lista de Preços'!$S314),'Lista de Preços'!$S314&lt;TODAY()),"ERRO","OK"),"")</f>
        <v/>
      </c>
      <c r="G325" s="27" t="str">
        <f aca="false">IF(COUNTA('Lista de Preços'!$A314:$W314)&gt;0,IF(AND('Lista de Preços'!$A314&lt;&gt;"",COUNTIF('Lista de Preços'!$A$4:$A$503,'Lista de Preços'!$A314)&gt;1),"ERRO","OK"),"")</f>
        <v/>
      </c>
      <c r="H325" s="27" t="str">
        <f aca="false">IF(COUNTA('Lista de Preços'!$A314:$W314)&gt;0,IF(AND('Lista de Preços'!$N314&lt;&gt;"",ISNUMBER('Lista de Preços'!$N314),OR('Lista de Preços'!$N314&lt;0,'Lista de Preços'!$N314&gt;0.5)),"ERRO","OK"),"")</f>
        <v/>
      </c>
      <c r="I325" s="27" t="str">
        <f aca="false">IF(COUNTA('Lista de Preços'!$A314:$W314)&gt;0,IF(OR($C325="ERRO",$D325="ERRO",$E325="ERRO",$F325="ERRO",$G325="ERRO",$H325="ERRO"),"FALHA","OK"),"")</f>
        <v/>
      </c>
    </row>
    <row r="326" customFormat="false" ht="15" hidden="false" customHeight="false" outlineLevel="0" collapsed="false">
      <c r="A326" s="26" t="n">
        <f aca="false">'Lista de Preços'!$A315</f>
        <v>0</v>
      </c>
      <c r="B326" s="26" t="n">
        <f aca="false">'Lista de Preços'!$B315</f>
        <v>0</v>
      </c>
      <c r="C326" s="27" t="str">
        <f aca="false">IF(COUNTA('Lista de Preços'!$A315:$W315)&gt;0,IF((COUNTBLANK('Lista de Preços'!$A315)+COUNTBLANK('Lista de Preços'!$B315)+COUNTBLANK('Lista de Preços'!$C315)+COUNTBLANK('Lista de Preços'!$D315)+COUNTBLANK('Lista de Preços'!$E315)+COUNTBLANK('Lista de Preços'!$F315)+COUNTBLANK('Lista de Preços'!$L315)+COUNTBLANK('Lista de Preços'!$M315)+COUNTBLANK('Lista de Preços'!$P315)+COUNTBLANK('Lista de Preços'!$U315)+COUNTBLANK('Lista de Preços'!$V315))&gt;0,"ERRO","OK"),"")</f>
        <v/>
      </c>
      <c r="D326" s="27" t="str">
        <f aca="false">IF(COUNTA('Lista de Preços'!$A315:$W315)&gt;0,IF(OR(AND('Lista de Preços'!$L315&lt;&gt;"",NOT(ISNUMBER('Lista de Preços'!$L315))),AND('Lista de Preços'!$M315&lt;&gt;"",NOT(ISNUMBER('Lista de Preços'!$M315)))),"ERRO","OK"),"")</f>
        <v/>
      </c>
      <c r="E326" s="27" t="str">
        <f aca="false">IF(COUNTA('Lista de Preços'!$A315:$W315)&gt;0,IF(AND(ISNUMBER('Lista de Preços'!$L315),ISNUMBER('Lista de Preços'!$M315),'Lista de Preços'!$L315&gt;'Lista de Preços'!$M315),"ERRO","OK"),"")</f>
        <v/>
      </c>
      <c r="F326" s="27" t="str">
        <f aca="true">IF(COUNTA('Lista de Preços'!$A315:$W315)&gt;0,IF(AND('Lista de Preços'!$S315&lt;&gt;"",ISNUMBER('Lista de Preços'!$S315),'Lista de Preços'!$S315&lt;TODAY()),"ERRO","OK"),"")</f>
        <v/>
      </c>
      <c r="G326" s="27" t="str">
        <f aca="false">IF(COUNTA('Lista de Preços'!$A315:$W315)&gt;0,IF(AND('Lista de Preços'!$A315&lt;&gt;"",COUNTIF('Lista de Preços'!$A$4:$A$503,'Lista de Preços'!$A315)&gt;1),"ERRO","OK"),"")</f>
        <v/>
      </c>
      <c r="H326" s="27" t="str">
        <f aca="false">IF(COUNTA('Lista de Preços'!$A315:$W315)&gt;0,IF(AND('Lista de Preços'!$N315&lt;&gt;"",ISNUMBER('Lista de Preços'!$N315),OR('Lista de Preços'!$N315&lt;0,'Lista de Preços'!$N315&gt;0.5)),"ERRO","OK"),"")</f>
        <v/>
      </c>
      <c r="I326" s="27" t="str">
        <f aca="false">IF(COUNTA('Lista de Preços'!$A315:$W315)&gt;0,IF(OR($C326="ERRO",$D326="ERRO",$E326="ERRO",$F326="ERRO",$G326="ERRO",$H326="ERRO"),"FALHA","OK"),"")</f>
        <v/>
      </c>
    </row>
    <row r="327" customFormat="false" ht="15" hidden="false" customHeight="false" outlineLevel="0" collapsed="false">
      <c r="A327" s="26" t="n">
        <f aca="false">'Lista de Preços'!$A316</f>
        <v>0</v>
      </c>
      <c r="B327" s="26" t="n">
        <f aca="false">'Lista de Preços'!$B316</f>
        <v>0</v>
      </c>
      <c r="C327" s="27" t="str">
        <f aca="false">IF(COUNTA('Lista de Preços'!$A316:$W316)&gt;0,IF((COUNTBLANK('Lista de Preços'!$A316)+COUNTBLANK('Lista de Preços'!$B316)+COUNTBLANK('Lista de Preços'!$C316)+COUNTBLANK('Lista de Preços'!$D316)+COUNTBLANK('Lista de Preços'!$E316)+COUNTBLANK('Lista de Preços'!$F316)+COUNTBLANK('Lista de Preços'!$L316)+COUNTBLANK('Lista de Preços'!$M316)+COUNTBLANK('Lista de Preços'!$P316)+COUNTBLANK('Lista de Preços'!$U316)+COUNTBLANK('Lista de Preços'!$V316))&gt;0,"ERRO","OK"),"")</f>
        <v/>
      </c>
      <c r="D327" s="27" t="str">
        <f aca="false">IF(COUNTA('Lista de Preços'!$A316:$W316)&gt;0,IF(OR(AND('Lista de Preços'!$L316&lt;&gt;"",NOT(ISNUMBER('Lista de Preços'!$L316))),AND('Lista de Preços'!$M316&lt;&gt;"",NOT(ISNUMBER('Lista de Preços'!$M316)))),"ERRO","OK"),"")</f>
        <v/>
      </c>
      <c r="E327" s="27" t="str">
        <f aca="false">IF(COUNTA('Lista de Preços'!$A316:$W316)&gt;0,IF(AND(ISNUMBER('Lista de Preços'!$L316),ISNUMBER('Lista de Preços'!$M316),'Lista de Preços'!$L316&gt;'Lista de Preços'!$M316),"ERRO","OK"),"")</f>
        <v/>
      </c>
      <c r="F327" s="27" t="str">
        <f aca="true">IF(COUNTA('Lista de Preços'!$A316:$W316)&gt;0,IF(AND('Lista de Preços'!$S316&lt;&gt;"",ISNUMBER('Lista de Preços'!$S316),'Lista de Preços'!$S316&lt;TODAY()),"ERRO","OK"),"")</f>
        <v/>
      </c>
      <c r="G327" s="27" t="str">
        <f aca="false">IF(COUNTA('Lista de Preços'!$A316:$W316)&gt;0,IF(AND('Lista de Preços'!$A316&lt;&gt;"",COUNTIF('Lista de Preços'!$A$4:$A$503,'Lista de Preços'!$A316)&gt;1),"ERRO","OK"),"")</f>
        <v/>
      </c>
      <c r="H327" s="27" t="str">
        <f aca="false">IF(COUNTA('Lista de Preços'!$A316:$W316)&gt;0,IF(AND('Lista de Preços'!$N316&lt;&gt;"",ISNUMBER('Lista de Preços'!$N316),OR('Lista de Preços'!$N316&lt;0,'Lista de Preços'!$N316&gt;0.5)),"ERRO","OK"),"")</f>
        <v/>
      </c>
      <c r="I327" s="27" t="str">
        <f aca="false">IF(COUNTA('Lista de Preços'!$A316:$W316)&gt;0,IF(OR($C327="ERRO",$D327="ERRO",$E327="ERRO",$F327="ERRO",$G327="ERRO",$H327="ERRO"),"FALHA","OK"),"")</f>
        <v/>
      </c>
    </row>
    <row r="328" customFormat="false" ht="15" hidden="false" customHeight="false" outlineLevel="0" collapsed="false">
      <c r="A328" s="26" t="n">
        <f aca="false">'Lista de Preços'!$A317</f>
        <v>0</v>
      </c>
      <c r="B328" s="26" t="n">
        <f aca="false">'Lista de Preços'!$B317</f>
        <v>0</v>
      </c>
      <c r="C328" s="27" t="str">
        <f aca="false">IF(COUNTA('Lista de Preços'!$A317:$W317)&gt;0,IF((COUNTBLANK('Lista de Preços'!$A317)+COUNTBLANK('Lista de Preços'!$B317)+COUNTBLANK('Lista de Preços'!$C317)+COUNTBLANK('Lista de Preços'!$D317)+COUNTBLANK('Lista de Preços'!$E317)+COUNTBLANK('Lista de Preços'!$F317)+COUNTBLANK('Lista de Preços'!$L317)+COUNTBLANK('Lista de Preços'!$M317)+COUNTBLANK('Lista de Preços'!$P317)+COUNTBLANK('Lista de Preços'!$U317)+COUNTBLANK('Lista de Preços'!$V317))&gt;0,"ERRO","OK"),"")</f>
        <v/>
      </c>
      <c r="D328" s="27" t="str">
        <f aca="false">IF(COUNTA('Lista de Preços'!$A317:$W317)&gt;0,IF(OR(AND('Lista de Preços'!$L317&lt;&gt;"",NOT(ISNUMBER('Lista de Preços'!$L317))),AND('Lista de Preços'!$M317&lt;&gt;"",NOT(ISNUMBER('Lista de Preços'!$M317)))),"ERRO","OK"),"")</f>
        <v/>
      </c>
      <c r="E328" s="27" t="str">
        <f aca="false">IF(COUNTA('Lista de Preços'!$A317:$W317)&gt;0,IF(AND(ISNUMBER('Lista de Preços'!$L317),ISNUMBER('Lista de Preços'!$M317),'Lista de Preços'!$L317&gt;'Lista de Preços'!$M317),"ERRO","OK"),"")</f>
        <v/>
      </c>
      <c r="F328" s="27" t="str">
        <f aca="true">IF(COUNTA('Lista de Preços'!$A317:$W317)&gt;0,IF(AND('Lista de Preços'!$S317&lt;&gt;"",ISNUMBER('Lista de Preços'!$S317),'Lista de Preços'!$S317&lt;TODAY()),"ERRO","OK"),"")</f>
        <v/>
      </c>
      <c r="G328" s="27" t="str">
        <f aca="false">IF(COUNTA('Lista de Preços'!$A317:$W317)&gt;0,IF(AND('Lista de Preços'!$A317&lt;&gt;"",COUNTIF('Lista de Preços'!$A$4:$A$503,'Lista de Preços'!$A317)&gt;1),"ERRO","OK"),"")</f>
        <v/>
      </c>
      <c r="H328" s="27" t="str">
        <f aca="false">IF(COUNTA('Lista de Preços'!$A317:$W317)&gt;0,IF(AND('Lista de Preços'!$N317&lt;&gt;"",ISNUMBER('Lista de Preços'!$N317),OR('Lista de Preços'!$N317&lt;0,'Lista de Preços'!$N317&gt;0.5)),"ERRO","OK"),"")</f>
        <v/>
      </c>
      <c r="I328" s="27" t="str">
        <f aca="false">IF(COUNTA('Lista de Preços'!$A317:$W317)&gt;0,IF(OR($C328="ERRO",$D328="ERRO",$E328="ERRO",$F328="ERRO",$G328="ERRO",$H328="ERRO"),"FALHA","OK"),"")</f>
        <v/>
      </c>
    </row>
    <row r="329" customFormat="false" ht="15" hidden="false" customHeight="false" outlineLevel="0" collapsed="false">
      <c r="A329" s="26" t="n">
        <f aca="false">'Lista de Preços'!$A318</f>
        <v>0</v>
      </c>
      <c r="B329" s="26" t="n">
        <f aca="false">'Lista de Preços'!$B318</f>
        <v>0</v>
      </c>
      <c r="C329" s="27" t="str">
        <f aca="false">IF(COUNTA('Lista de Preços'!$A318:$W318)&gt;0,IF((COUNTBLANK('Lista de Preços'!$A318)+COUNTBLANK('Lista de Preços'!$B318)+COUNTBLANK('Lista de Preços'!$C318)+COUNTBLANK('Lista de Preços'!$D318)+COUNTBLANK('Lista de Preços'!$E318)+COUNTBLANK('Lista de Preços'!$F318)+COUNTBLANK('Lista de Preços'!$L318)+COUNTBLANK('Lista de Preços'!$M318)+COUNTBLANK('Lista de Preços'!$P318)+COUNTBLANK('Lista de Preços'!$U318)+COUNTBLANK('Lista de Preços'!$V318))&gt;0,"ERRO","OK"),"")</f>
        <v/>
      </c>
      <c r="D329" s="27" t="str">
        <f aca="false">IF(COUNTA('Lista de Preços'!$A318:$W318)&gt;0,IF(OR(AND('Lista de Preços'!$L318&lt;&gt;"",NOT(ISNUMBER('Lista de Preços'!$L318))),AND('Lista de Preços'!$M318&lt;&gt;"",NOT(ISNUMBER('Lista de Preços'!$M318)))),"ERRO","OK"),"")</f>
        <v/>
      </c>
      <c r="E329" s="27" t="str">
        <f aca="false">IF(COUNTA('Lista de Preços'!$A318:$W318)&gt;0,IF(AND(ISNUMBER('Lista de Preços'!$L318),ISNUMBER('Lista de Preços'!$M318),'Lista de Preços'!$L318&gt;'Lista de Preços'!$M318),"ERRO","OK"),"")</f>
        <v/>
      </c>
      <c r="F329" s="27" t="str">
        <f aca="true">IF(COUNTA('Lista de Preços'!$A318:$W318)&gt;0,IF(AND('Lista de Preços'!$S318&lt;&gt;"",ISNUMBER('Lista de Preços'!$S318),'Lista de Preços'!$S318&lt;TODAY()),"ERRO","OK"),"")</f>
        <v/>
      </c>
      <c r="G329" s="27" t="str">
        <f aca="false">IF(COUNTA('Lista de Preços'!$A318:$W318)&gt;0,IF(AND('Lista de Preços'!$A318&lt;&gt;"",COUNTIF('Lista de Preços'!$A$4:$A$503,'Lista de Preços'!$A318)&gt;1),"ERRO","OK"),"")</f>
        <v/>
      </c>
      <c r="H329" s="27" t="str">
        <f aca="false">IF(COUNTA('Lista de Preços'!$A318:$W318)&gt;0,IF(AND('Lista de Preços'!$N318&lt;&gt;"",ISNUMBER('Lista de Preços'!$N318),OR('Lista de Preços'!$N318&lt;0,'Lista de Preços'!$N318&gt;0.5)),"ERRO","OK"),"")</f>
        <v/>
      </c>
      <c r="I329" s="27" t="str">
        <f aca="false">IF(COUNTA('Lista de Preços'!$A318:$W318)&gt;0,IF(OR($C329="ERRO",$D329="ERRO",$E329="ERRO",$F329="ERRO",$G329="ERRO",$H329="ERRO"),"FALHA","OK"),"")</f>
        <v/>
      </c>
    </row>
    <row r="330" customFormat="false" ht="15" hidden="false" customHeight="false" outlineLevel="0" collapsed="false">
      <c r="A330" s="26" t="n">
        <f aca="false">'Lista de Preços'!$A319</f>
        <v>0</v>
      </c>
      <c r="B330" s="26" t="n">
        <f aca="false">'Lista de Preços'!$B319</f>
        <v>0</v>
      </c>
      <c r="C330" s="27" t="str">
        <f aca="false">IF(COUNTA('Lista de Preços'!$A319:$W319)&gt;0,IF((COUNTBLANK('Lista de Preços'!$A319)+COUNTBLANK('Lista de Preços'!$B319)+COUNTBLANK('Lista de Preços'!$C319)+COUNTBLANK('Lista de Preços'!$D319)+COUNTBLANK('Lista de Preços'!$E319)+COUNTBLANK('Lista de Preços'!$F319)+COUNTBLANK('Lista de Preços'!$L319)+COUNTBLANK('Lista de Preços'!$M319)+COUNTBLANK('Lista de Preços'!$P319)+COUNTBLANK('Lista de Preços'!$U319)+COUNTBLANK('Lista de Preços'!$V319))&gt;0,"ERRO","OK"),"")</f>
        <v/>
      </c>
      <c r="D330" s="27" t="str">
        <f aca="false">IF(COUNTA('Lista de Preços'!$A319:$W319)&gt;0,IF(OR(AND('Lista de Preços'!$L319&lt;&gt;"",NOT(ISNUMBER('Lista de Preços'!$L319))),AND('Lista de Preços'!$M319&lt;&gt;"",NOT(ISNUMBER('Lista de Preços'!$M319)))),"ERRO","OK"),"")</f>
        <v/>
      </c>
      <c r="E330" s="27" t="str">
        <f aca="false">IF(COUNTA('Lista de Preços'!$A319:$W319)&gt;0,IF(AND(ISNUMBER('Lista de Preços'!$L319),ISNUMBER('Lista de Preços'!$M319),'Lista de Preços'!$L319&gt;'Lista de Preços'!$M319),"ERRO","OK"),"")</f>
        <v/>
      </c>
      <c r="F330" s="27" t="str">
        <f aca="true">IF(COUNTA('Lista de Preços'!$A319:$W319)&gt;0,IF(AND('Lista de Preços'!$S319&lt;&gt;"",ISNUMBER('Lista de Preços'!$S319),'Lista de Preços'!$S319&lt;TODAY()),"ERRO","OK"),"")</f>
        <v/>
      </c>
      <c r="G330" s="27" t="str">
        <f aca="false">IF(COUNTA('Lista de Preços'!$A319:$W319)&gt;0,IF(AND('Lista de Preços'!$A319&lt;&gt;"",COUNTIF('Lista de Preços'!$A$4:$A$503,'Lista de Preços'!$A319)&gt;1),"ERRO","OK"),"")</f>
        <v/>
      </c>
      <c r="H330" s="27" t="str">
        <f aca="false">IF(COUNTA('Lista de Preços'!$A319:$W319)&gt;0,IF(AND('Lista de Preços'!$N319&lt;&gt;"",ISNUMBER('Lista de Preços'!$N319),OR('Lista de Preços'!$N319&lt;0,'Lista de Preços'!$N319&gt;0.5)),"ERRO","OK"),"")</f>
        <v/>
      </c>
      <c r="I330" s="27" t="str">
        <f aca="false">IF(COUNTA('Lista de Preços'!$A319:$W319)&gt;0,IF(OR($C330="ERRO",$D330="ERRO",$E330="ERRO",$F330="ERRO",$G330="ERRO",$H330="ERRO"),"FALHA","OK"),"")</f>
        <v/>
      </c>
    </row>
    <row r="331" customFormat="false" ht="15" hidden="false" customHeight="false" outlineLevel="0" collapsed="false">
      <c r="A331" s="26" t="n">
        <f aca="false">'Lista de Preços'!$A320</f>
        <v>0</v>
      </c>
      <c r="B331" s="26" t="n">
        <f aca="false">'Lista de Preços'!$B320</f>
        <v>0</v>
      </c>
      <c r="C331" s="27" t="str">
        <f aca="false">IF(COUNTA('Lista de Preços'!$A320:$W320)&gt;0,IF((COUNTBLANK('Lista de Preços'!$A320)+COUNTBLANK('Lista de Preços'!$B320)+COUNTBLANK('Lista de Preços'!$C320)+COUNTBLANK('Lista de Preços'!$D320)+COUNTBLANK('Lista de Preços'!$E320)+COUNTBLANK('Lista de Preços'!$F320)+COUNTBLANK('Lista de Preços'!$L320)+COUNTBLANK('Lista de Preços'!$M320)+COUNTBLANK('Lista de Preços'!$P320)+COUNTBLANK('Lista de Preços'!$U320)+COUNTBLANK('Lista de Preços'!$V320))&gt;0,"ERRO","OK"),"")</f>
        <v/>
      </c>
      <c r="D331" s="27" t="str">
        <f aca="false">IF(COUNTA('Lista de Preços'!$A320:$W320)&gt;0,IF(OR(AND('Lista de Preços'!$L320&lt;&gt;"",NOT(ISNUMBER('Lista de Preços'!$L320))),AND('Lista de Preços'!$M320&lt;&gt;"",NOT(ISNUMBER('Lista de Preços'!$M320)))),"ERRO","OK"),"")</f>
        <v/>
      </c>
      <c r="E331" s="27" t="str">
        <f aca="false">IF(COUNTA('Lista de Preços'!$A320:$W320)&gt;0,IF(AND(ISNUMBER('Lista de Preços'!$L320),ISNUMBER('Lista de Preços'!$M320),'Lista de Preços'!$L320&gt;'Lista de Preços'!$M320),"ERRO","OK"),"")</f>
        <v/>
      </c>
      <c r="F331" s="27" t="str">
        <f aca="true">IF(COUNTA('Lista de Preços'!$A320:$W320)&gt;0,IF(AND('Lista de Preços'!$S320&lt;&gt;"",ISNUMBER('Lista de Preços'!$S320),'Lista de Preços'!$S320&lt;TODAY()),"ERRO","OK"),"")</f>
        <v/>
      </c>
      <c r="G331" s="27" t="str">
        <f aca="false">IF(COUNTA('Lista de Preços'!$A320:$W320)&gt;0,IF(AND('Lista de Preços'!$A320&lt;&gt;"",COUNTIF('Lista de Preços'!$A$4:$A$503,'Lista de Preços'!$A320)&gt;1),"ERRO","OK"),"")</f>
        <v/>
      </c>
      <c r="H331" s="27" t="str">
        <f aca="false">IF(COUNTA('Lista de Preços'!$A320:$W320)&gt;0,IF(AND('Lista de Preços'!$N320&lt;&gt;"",ISNUMBER('Lista de Preços'!$N320),OR('Lista de Preços'!$N320&lt;0,'Lista de Preços'!$N320&gt;0.5)),"ERRO","OK"),"")</f>
        <v/>
      </c>
      <c r="I331" s="27" t="str">
        <f aca="false">IF(COUNTA('Lista de Preços'!$A320:$W320)&gt;0,IF(OR($C331="ERRO",$D331="ERRO",$E331="ERRO",$F331="ERRO",$G331="ERRO",$H331="ERRO"),"FALHA","OK"),"")</f>
        <v/>
      </c>
    </row>
    <row r="332" customFormat="false" ht="15" hidden="false" customHeight="false" outlineLevel="0" collapsed="false">
      <c r="A332" s="26" t="n">
        <f aca="false">'Lista de Preços'!$A321</f>
        <v>0</v>
      </c>
      <c r="B332" s="26" t="n">
        <f aca="false">'Lista de Preços'!$B321</f>
        <v>0</v>
      </c>
      <c r="C332" s="27" t="str">
        <f aca="false">IF(COUNTA('Lista de Preços'!$A321:$W321)&gt;0,IF((COUNTBLANK('Lista de Preços'!$A321)+COUNTBLANK('Lista de Preços'!$B321)+COUNTBLANK('Lista de Preços'!$C321)+COUNTBLANK('Lista de Preços'!$D321)+COUNTBLANK('Lista de Preços'!$E321)+COUNTBLANK('Lista de Preços'!$F321)+COUNTBLANK('Lista de Preços'!$L321)+COUNTBLANK('Lista de Preços'!$M321)+COUNTBLANK('Lista de Preços'!$P321)+COUNTBLANK('Lista de Preços'!$U321)+COUNTBLANK('Lista de Preços'!$V321))&gt;0,"ERRO","OK"),"")</f>
        <v/>
      </c>
      <c r="D332" s="27" t="str">
        <f aca="false">IF(COUNTA('Lista de Preços'!$A321:$W321)&gt;0,IF(OR(AND('Lista de Preços'!$L321&lt;&gt;"",NOT(ISNUMBER('Lista de Preços'!$L321))),AND('Lista de Preços'!$M321&lt;&gt;"",NOT(ISNUMBER('Lista de Preços'!$M321)))),"ERRO","OK"),"")</f>
        <v/>
      </c>
      <c r="E332" s="27" t="str">
        <f aca="false">IF(COUNTA('Lista de Preços'!$A321:$W321)&gt;0,IF(AND(ISNUMBER('Lista de Preços'!$L321),ISNUMBER('Lista de Preços'!$M321),'Lista de Preços'!$L321&gt;'Lista de Preços'!$M321),"ERRO","OK"),"")</f>
        <v/>
      </c>
      <c r="F332" s="27" t="str">
        <f aca="true">IF(COUNTA('Lista de Preços'!$A321:$W321)&gt;0,IF(AND('Lista de Preços'!$S321&lt;&gt;"",ISNUMBER('Lista de Preços'!$S321),'Lista de Preços'!$S321&lt;TODAY()),"ERRO","OK"),"")</f>
        <v/>
      </c>
      <c r="G332" s="27" t="str">
        <f aca="false">IF(COUNTA('Lista de Preços'!$A321:$W321)&gt;0,IF(AND('Lista de Preços'!$A321&lt;&gt;"",COUNTIF('Lista de Preços'!$A$4:$A$503,'Lista de Preços'!$A321)&gt;1),"ERRO","OK"),"")</f>
        <v/>
      </c>
      <c r="H332" s="27" t="str">
        <f aca="false">IF(COUNTA('Lista de Preços'!$A321:$W321)&gt;0,IF(AND('Lista de Preços'!$N321&lt;&gt;"",ISNUMBER('Lista de Preços'!$N321),OR('Lista de Preços'!$N321&lt;0,'Lista de Preços'!$N321&gt;0.5)),"ERRO","OK"),"")</f>
        <v/>
      </c>
      <c r="I332" s="27" t="str">
        <f aca="false">IF(COUNTA('Lista de Preços'!$A321:$W321)&gt;0,IF(OR($C332="ERRO",$D332="ERRO",$E332="ERRO",$F332="ERRO",$G332="ERRO",$H332="ERRO"),"FALHA","OK"),"")</f>
        <v/>
      </c>
    </row>
    <row r="333" customFormat="false" ht="15" hidden="false" customHeight="false" outlineLevel="0" collapsed="false">
      <c r="A333" s="26" t="n">
        <f aca="false">'Lista de Preços'!$A322</f>
        <v>0</v>
      </c>
      <c r="B333" s="26" t="n">
        <f aca="false">'Lista de Preços'!$B322</f>
        <v>0</v>
      </c>
      <c r="C333" s="27" t="str">
        <f aca="false">IF(COUNTA('Lista de Preços'!$A322:$W322)&gt;0,IF((COUNTBLANK('Lista de Preços'!$A322)+COUNTBLANK('Lista de Preços'!$B322)+COUNTBLANK('Lista de Preços'!$C322)+COUNTBLANK('Lista de Preços'!$D322)+COUNTBLANK('Lista de Preços'!$E322)+COUNTBLANK('Lista de Preços'!$F322)+COUNTBLANK('Lista de Preços'!$L322)+COUNTBLANK('Lista de Preços'!$M322)+COUNTBLANK('Lista de Preços'!$P322)+COUNTBLANK('Lista de Preços'!$U322)+COUNTBLANK('Lista de Preços'!$V322))&gt;0,"ERRO","OK"),"")</f>
        <v/>
      </c>
      <c r="D333" s="27" t="str">
        <f aca="false">IF(COUNTA('Lista de Preços'!$A322:$W322)&gt;0,IF(OR(AND('Lista de Preços'!$L322&lt;&gt;"",NOT(ISNUMBER('Lista de Preços'!$L322))),AND('Lista de Preços'!$M322&lt;&gt;"",NOT(ISNUMBER('Lista de Preços'!$M322)))),"ERRO","OK"),"")</f>
        <v/>
      </c>
      <c r="E333" s="27" t="str">
        <f aca="false">IF(COUNTA('Lista de Preços'!$A322:$W322)&gt;0,IF(AND(ISNUMBER('Lista de Preços'!$L322),ISNUMBER('Lista de Preços'!$M322),'Lista de Preços'!$L322&gt;'Lista de Preços'!$M322),"ERRO","OK"),"")</f>
        <v/>
      </c>
      <c r="F333" s="27" t="str">
        <f aca="true">IF(COUNTA('Lista de Preços'!$A322:$W322)&gt;0,IF(AND('Lista de Preços'!$S322&lt;&gt;"",ISNUMBER('Lista de Preços'!$S322),'Lista de Preços'!$S322&lt;TODAY()),"ERRO","OK"),"")</f>
        <v/>
      </c>
      <c r="G333" s="27" t="str">
        <f aca="false">IF(COUNTA('Lista de Preços'!$A322:$W322)&gt;0,IF(AND('Lista de Preços'!$A322&lt;&gt;"",COUNTIF('Lista de Preços'!$A$4:$A$503,'Lista de Preços'!$A322)&gt;1),"ERRO","OK"),"")</f>
        <v/>
      </c>
      <c r="H333" s="27" t="str">
        <f aca="false">IF(COUNTA('Lista de Preços'!$A322:$W322)&gt;0,IF(AND('Lista de Preços'!$N322&lt;&gt;"",ISNUMBER('Lista de Preços'!$N322),OR('Lista de Preços'!$N322&lt;0,'Lista de Preços'!$N322&gt;0.5)),"ERRO","OK"),"")</f>
        <v/>
      </c>
      <c r="I333" s="27" t="str">
        <f aca="false">IF(COUNTA('Lista de Preços'!$A322:$W322)&gt;0,IF(OR($C333="ERRO",$D333="ERRO",$E333="ERRO",$F333="ERRO",$G333="ERRO",$H333="ERRO"),"FALHA","OK"),"")</f>
        <v/>
      </c>
    </row>
    <row r="334" customFormat="false" ht="15" hidden="false" customHeight="false" outlineLevel="0" collapsed="false">
      <c r="A334" s="26" t="n">
        <f aca="false">'Lista de Preços'!$A323</f>
        <v>0</v>
      </c>
      <c r="B334" s="26" t="n">
        <f aca="false">'Lista de Preços'!$B323</f>
        <v>0</v>
      </c>
      <c r="C334" s="27" t="str">
        <f aca="false">IF(COUNTA('Lista de Preços'!$A323:$W323)&gt;0,IF((COUNTBLANK('Lista de Preços'!$A323)+COUNTBLANK('Lista de Preços'!$B323)+COUNTBLANK('Lista de Preços'!$C323)+COUNTBLANK('Lista de Preços'!$D323)+COUNTBLANK('Lista de Preços'!$E323)+COUNTBLANK('Lista de Preços'!$F323)+COUNTBLANK('Lista de Preços'!$L323)+COUNTBLANK('Lista de Preços'!$M323)+COUNTBLANK('Lista de Preços'!$P323)+COUNTBLANK('Lista de Preços'!$U323)+COUNTBLANK('Lista de Preços'!$V323))&gt;0,"ERRO","OK"),"")</f>
        <v/>
      </c>
      <c r="D334" s="27" t="str">
        <f aca="false">IF(COUNTA('Lista de Preços'!$A323:$W323)&gt;0,IF(OR(AND('Lista de Preços'!$L323&lt;&gt;"",NOT(ISNUMBER('Lista de Preços'!$L323))),AND('Lista de Preços'!$M323&lt;&gt;"",NOT(ISNUMBER('Lista de Preços'!$M323)))),"ERRO","OK"),"")</f>
        <v/>
      </c>
      <c r="E334" s="27" t="str">
        <f aca="false">IF(COUNTA('Lista de Preços'!$A323:$W323)&gt;0,IF(AND(ISNUMBER('Lista de Preços'!$L323),ISNUMBER('Lista de Preços'!$M323),'Lista de Preços'!$L323&gt;'Lista de Preços'!$M323),"ERRO","OK"),"")</f>
        <v/>
      </c>
      <c r="F334" s="27" t="str">
        <f aca="true">IF(COUNTA('Lista de Preços'!$A323:$W323)&gt;0,IF(AND('Lista de Preços'!$S323&lt;&gt;"",ISNUMBER('Lista de Preços'!$S323),'Lista de Preços'!$S323&lt;TODAY()),"ERRO","OK"),"")</f>
        <v/>
      </c>
      <c r="G334" s="27" t="str">
        <f aca="false">IF(COUNTA('Lista de Preços'!$A323:$W323)&gt;0,IF(AND('Lista de Preços'!$A323&lt;&gt;"",COUNTIF('Lista de Preços'!$A$4:$A$503,'Lista de Preços'!$A323)&gt;1),"ERRO","OK"),"")</f>
        <v/>
      </c>
      <c r="H334" s="27" t="str">
        <f aca="false">IF(COUNTA('Lista de Preços'!$A323:$W323)&gt;0,IF(AND('Lista de Preços'!$N323&lt;&gt;"",ISNUMBER('Lista de Preços'!$N323),OR('Lista de Preços'!$N323&lt;0,'Lista de Preços'!$N323&gt;0.5)),"ERRO","OK"),"")</f>
        <v/>
      </c>
      <c r="I334" s="27" t="str">
        <f aca="false">IF(COUNTA('Lista de Preços'!$A323:$W323)&gt;0,IF(OR($C334="ERRO",$D334="ERRO",$E334="ERRO",$F334="ERRO",$G334="ERRO",$H334="ERRO"),"FALHA","OK"),"")</f>
        <v/>
      </c>
    </row>
    <row r="335" customFormat="false" ht="15" hidden="false" customHeight="false" outlineLevel="0" collapsed="false">
      <c r="A335" s="26" t="n">
        <f aca="false">'Lista de Preços'!$A324</f>
        <v>0</v>
      </c>
      <c r="B335" s="26" t="n">
        <f aca="false">'Lista de Preços'!$B324</f>
        <v>0</v>
      </c>
      <c r="C335" s="27" t="str">
        <f aca="false">IF(COUNTA('Lista de Preços'!$A324:$W324)&gt;0,IF((COUNTBLANK('Lista de Preços'!$A324)+COUNTBLANK('Lista de Preços'!$B324)+COUNTBLANK('Lista de Preços'!$C324)+COUNTBLANK('Lista de Preços'!$D324)+COUNTBLANK('Lista de Preços'!$E324)+COUNTBLANK('Lista de Preços'!$F324)+COUNTBLANK('Lista de Preços'!$L324)+COUNTBLANK('Lista de Preços'!$M324)+COUNTBLANK('Lista de Preços'!$P324)+COUNTBLANK('Lista de Preços'!$U324)+COUNTBLANK('Lista de Preços'!$V324))&gt;0,"ERRO","OK"),"")</f>
        <v/>
      </c>
      <c r="D335" s="27" t="str">
        <f aca="false">IF(COUNTA('Lista de Preços'!$A324:$W324)&gt;0,IF(OR(AND('Lista de Preços'!$L324&lt;&gt;"",NOT(ISNUMBER('Lista de Preços'!$L324))),AND('Lista de Preços'!$M324&lt;&gt;"",NOT(ISNUMBER('Lista de Preços'!$M324)))),"ERRO","OK"),"")</f>
        <v/>
      </c>
      <c r="E335" s="27" t="str">
        <f aca="false">IF(COUNTA('Lista de Preços'!$A324:$W324)&gt;0,IF(AND(ISNUMBER('Lista de Preços'!$L324),ISNUMBER('Lista de Preços'!$M324),'Lista de Preços'!$L324&gt;'Lista de Preços'!$M324),"ERRO","OK"),"")</f>
        <v/>
      </c>
      <c r="F335" s="27" t="str">
        <f aca="true">IF(COUNTA('Lista de Preços'!$A324:$W324)&gt;0,IF(AND('Lista de Preços'!$S324&lt;&gt;"",ISNUMBER('Lista de Preços'!$S324),'Lista de Preços'!$S324&lt;TODAY()),"ERRO","OK"),"")</f>
        <v/>
      </c>
      <c r="G335" s="27" t="str">
        <f aca="false">IF(COUNTA('Lista de Preços'!$A324:$W324)&gt;0,IF(AND('Lista de Preços'!$A324&lt;&gt;"",COUNTIF('Lista de Preços'!$A$4:$A$503,'Lista de Preços'!$A324)&gt;1),"ERRO","OK"),"")</f>
        <v/>
      </c>
      <c r="H335" s="27" t="str">
        <f aca="false">IF(COUNTA('Lista de Preços'!$A324:$W324)&gt;0,IF(AND('Lista de Preços'!$N324&lt;&gt;"",ISNUMBER('Lista de Preços'!$N324),OR('Lista de Preços'!$N324&lt;0,'Lista de Preços'!$N324&gt;0.5)),"ERRO","OK"),"")</f>
        <v/>
      </c>
      <c r="I335" s="27" t="str">
        <f aca="false">IF(COUNTA('Lista de Preços'!$A324:$W324)&gt;0,IF(OR($C335="ERRO",$D335="ERRO",$E335="ERRO",$F335="ERRO",$G335="ERRO",$H335="ERRO"),"FALHA","OK"),"")</f>
        <v/>
      </c>
    </row>
    <row r="336" customFormat="false" ht="15" hidden="false" customHeight="false" outlineLevel="0" collapsed="false">
      <c r="A336" s="26" t="n">
        <f aca="false">'Lista de Preços'!$A325</f>
        <v>0</v>
      </c>
      <c r="B336" s="26" t="n">
        <f aca="false">'Lista de Preços'!$B325</f>
        <v>0</v>
      </c>
      <c r="C336" s="27" t="str">
        <f aca="false">IF(COUNTA('Lista de Preços'!$A325:$W325)&gt;0,IF((COUNTBLANK('Lista de Preços'!$A325)+COUNTBLANK('Lista de Preços'!$B325)+COUNTBLANK('Lista de Preços'!$C325)+COUNTBLANK('Lista de Preços'!$D325)+COUNTBLANK('Lista de Preços'!$E325)+COUNTBLANK('Lista de Preços'!$F325)+COUNTBLANK('Lista de Preços'!$L325)+COUNTBLANK('Lista de Preços'!$M325)+COUNTBLANK('Lista de Preços'!$P325)+COUNTBLANK('Lista de Preços'!$U325)+COUNTBLANK('Lista de Preços'!$V325))&gt;0,"ERRO","OK"),"")</f>
        <v/>
      </c>
      <c r="D336" s="27" t="str">
        <f aca="false">IF(COUNTA('Lista de Preços'!$A325:$W325)&gt;0,IF(OR(AND('Lista de Preços'!$L325&lt;&gt;"",NOT(ISNUMBER('Lista de Preços'!$L325))),AND('Lista de Preços'!$M325&lt;&gt;"",NOT(ISNUMBER('Lista de Preços'!$M325)))),"ERRO","OK"),"")</f>
        <v/>
      </c>
      <c r="E336" s="27" t="str">
        <f aca="false">IF(COUNTA('Lista de Preços'!$A325:$W325)&gt;0,IF(AND(ISNUMBER('Lista de Preços'!$L325),ISNUMBER('Lista de Preços'!$M325),'Lista de Preços'!$L325&gt;'Lista de Preços'!$M325),"ERRO","OK"),"")</f>
        <v/>
      </c>
      <c r="F336" s="27" t="str">
        <f aca="true">IF(COUNTA('Lista de Preços'!$A325:$W325)&gt;0,IF(AND('Lista de Preços'!$S325&lt;&gt;"",ISNUMBER('Lista de Preços'!$S325),'Lista de Preços'!$S325&lt;TODAY()),"ERRO","OK"),"")</f>
        <v/>
      </c>
      <c r="G336" s="27" t="str">
        <f aca="false">IF(COUNTA('Lista de Preços'!$A325:$W325)&gt;0,IF(AND('Lista de Preços'!$A325&lt;&gt;"",COUNTIF('Lista de Preços'!$A$4:$A$503,'Lista de Preços'!$A325)&gt;1),"ERRO","OK"),"")</f>
        <v/>
      </c>
      <c r="H336" s="27" t="str">
        <f aca="false">IF(COUNTA('Lista de Preços'!$A325:$W325)&gt;0,IF(AND('Lista de Preços'!$N325&lt;&gt;"",ISNUMBER('Lista de Preços'!$N325),OR('Lista de Preços'!$N325&lt;0,'Lista de Preços'!$N325&gt;0.5)),"ERRO","OK"),"")</f>
        <v/>
      </c>
      <c r="I336" s="27" t="str">
        <f aca="false">IF(COUNTA('Lista de Preços'!$A325:$W325)&gt;0,IF(OR($C336="ERRO",$D336="ERRO",$E336="ERRO",$F336="ERRO",$G336="ERRO",$H336="ERRO"),"FALHA","OK"),"")</f>
        <v/>
      </c>
    </row>
    <row r="337" customFormat="false" ht="15" hidden="false" customHeight="false" outlineLevel="0" collapsed="false">
      <c r="A337" s="26" t="n">
        <f aca="false">'Lista de Preços'!$A326</f>
        <v>0</v>
      </c>
      <c r="B337" s="26" t="n">
        <f aca="false">'Lista de Preços'!$B326</f>
        <v>0</v>
      </c>
      <c r="C337" s="27" t="str">
        <f aca="false">IF(COUNTA('Lista de Preços'!$A326:$W326)&gt;0,IF((COUNTBLANK('Lista de Preços'!$A326)+COUNTBLANK('Lista de Preços'!$B326)+COUNTBLANK('Lista de Preços'!$C326)+COUNTBLANK('Lista de Preços'!$D326)+COUNTBLANK('Lista de Preços'!$E326)+COUNTBLANK('Lista de Preços'!$F326)+COUNTBLANK('Lista de Preços'!$L326)+COUNTBLANK('Lista de Preços'!$M326)+COUNTBLANK('Lista de Preços'!$P326)+COUNTBLANK('Lista de Preços'!$U326)+COUNTBLANK('Lista de Preços'!$V326))&gt;0,"ERRO","OK"),"")</f>
        <v/>
      </c>
      <c r="D337" s="27" t="str">
        <f aca="false">IF(COUNTA('Lista de Preços'!$A326:$W326)&gt;0,IF(OR(AND('Lista de Preços'!$L326&lt;&gt;"",NOT(ISNUMBER('Lista de Preços'!$L326))),AND('Lista de Preços'!$M326&lt;&gt;"",NOT(ISNUMBER('Lista de Preços'!$M326)))),"ERRO","OK"),"")</f>
        <v/>
      </c>
      <c r="E337" s="27" t="str">
        <f aca="false">IF(COUNTA('Lista de Preços'!$A326:$W326)&gt;0,IF(AND(ISNUMBER('Lista de Preços'!$L326),ISNUMBER('Lista de Preços'!$M326),'Lista de Preços'!$L326&gt;'Lista de Preços'!$M326),"ERRO","OK"),"")</f>
        <v/>
      </c>
      <c r="F337" s="27" t="str">
        <f aca="true">IF(COUNTA('Lista de Preços'!$A326:$W326)&gt;0,IF(AND('Lista de Preços'!$S326&lt;&gt;"",ISNUMBER('Lista de Preços'!$S326),'Lista de Preços'!$S326&lt;TODAY()),"ERRO","OK"),"")</f>
        <v/>
      </c>
      <c r="G337" s="27" t="str">
        <f aca="false">IF(COUNTA('Lista de Preços'!$A326:$W326)&gt;0,IF(AND('Lista de Preços'!$A326&lt;&gt;"",COUNTIF('Lista de Preços'!$A$4:$A$503,'Lista de Preços'!$A326)&gt;1),"ERRO","OK"),"")</f>
        <v/>
      </c>
      <c r="H337" s="27" t="str">
        <f aca="false">IF(COUNTA('Lista de Preços'!$A326:$W326)&gt;0,IF(AND('Lista de Preços'!$N326&lt;&gt;"",ISNUMBER('Lista de Preços'!$N326),OR('Lista de Preços'!$N326&lt;0,'Lista de Preços'!$N326&gt;0.5)),"ERRO","OK"),"")</f>
        <v/>
      </c>
      <c r="I337" s="27" t="str">
        <f aca="false">IF(COUNTA('Lista de Preços'!$A326:$W326)&gt;0,IF(OR($C337="ERRO",$D337="ERRO",$E337="ERRO",$F337="ERRO",$G337="ERRO",$H337="ERRO"),"FALHA","OK"),"")</f>
        <v/>
      </c>
    </row>
    <row r="338" customFormat="false" ht="15" hidden="false" customHeight="false" outlineLevel="0" collapsed="false">
      <c r="A338" s="26" t="n">
        <f aca="false">'Lista de Preços'!$A327</f>
        <v>0</v>
      </c>
      <c r="B338" s="26" t="n">
        <f aca="false">'Lista de Preços'!$B327</f>
        <v>0</v>
      </c>
      <c r="C338" s="27" t="str">
        <f aca="false">IF(COUNTA('Lista de Preços'!$A327:$W327)&gt;0,IF((COUNTBLANK('Lista de Preços'!$A327)+COUNTBLANK('Lista de Preços'!$B327)+COUNTBLANK('Lista de Preços'!$C327)+COUNTBLANK('Lista de Preços'!$D327)+COUNTBLANK('Lista de Preços'!$E327)+COUNTBLANK('Lista de Preços'!$F327)+COUNTBLANK('Lista de Preços'!$L327)+COUNTBLANK('Lista de Preços'!$M327)+COUNTBLANK('Lista de Preços'!$P327)+COUNTBLANK('Lista de Preços'!$U327)+COUNTBLANK('Lista de Preços'!$V327))&gt;0,"ERRO","OK"),"")</f>
        <v/>
      </c>
      <c r="D338" s="27" t="str">
        <f aca="false">IF(COUNTA('Lista de Preços'!$A327:$W327)&gt;0,IF(OR(AND('Lista de Preços'!$L327&lt;&gt;"",NOT(ISNUMBER('Lista de Preços'!$L327))),AND('Lista de Preços'!$M327&lt;&gt;"",NOT(ISNUMBER('Lista de Preços'!$M327)))),"ERRO","OK"),"")</f>
        <v/>
      </c>
      <c r="E338" s="27" t="str">
        <f aca="false">IF(COUNTA('Lista de Preços'!$A327:$W327)&gt;0,IF(AND(ISNUMBER('Lista de Preços'!$L327),ISNUMBER('Lista de Preços'!$M327),'Lista de Preços'!$L327&gt;'Lista de Preços'!$M327),"ERRO","OK"),"")</f>
        <v/>
      </c>
      <c r="F338" s="27" t="str">
        <f aca="true">IF(COUNTA('Lista de Preços'!$A327:$W327)&gt;0,IF(AND('Lista de Preços'!$S327&lt;&gt;"",ISNUMBER('Lista de Preços'!$S327),'Lista de Preços'!$S327&lt;TODAY()),"ERRO","OK"),"")</f>
        <v/>
      </c>
      <c r="G338" s="27" t="str">
        <f aca="false">IF(COUNTA('Lista de Preços'!$A327:$W327)&gt;0,IF(AND('Lista de Preços'!$A327&lt;&gt;"",COUNTIF('Lista de Preços'!$A$4:$A$503,'Lista de Preços'!$A327)&gt;1),"ERRO","OK"),"")</f>
        <v/>
      </c>
      <c r="H338" s="27" t="str">
        <f aca="false">IF(COUNTA('Lista de Preços'!$A327:$W327)&gt;0,IF(AND('Lista de Preços'!$N327&lt;&gt;"",ISNUMBER('Lista de Preços'!$N327),OR('Lista de Preços'!$N327&lt;0,'Lista de Preços'!$N327&gt;0.5)),"ERRO","OK"),"")</f>
        <v/>
      </c>
      <c r="I338" s="27" t="str">
        <f aca="false">IF(COUNTA('Lista de Preços'!$A327:$W327)&gt;0,IF(OR($C338="ERRO",$D338="ERRO",$E338="ERRO",$F338="ERRO",$G338="ERRO",$H338="ERRO"),"FALHA","OK"),"")</f>
        <v/>
      </c>
    </row>
    <row r="339" customFormat="false" ht="15" hidden="false" customHeight="false" outlineLevel="0" collapsed="false">
      <c r="A339" s="26" t="n">
        <f aca="false">'Lista de Preços'!$A328</f>
        <v>0</v>
      </c>
      <c r="B339" s="26" t="n">
        <f aca="false">'Lista de Preços'!$B328</f>
        <v>0</v>
      </c>
      <c r="C339" s="27" t="str">
        <f aca="false">IF(COUNTA('Lista de Preços'!$A328:$W328)&gt;0,IF((COUNTBLANK('Lista de Preços'!$A328)+COUNTBLANK('Lista de Preços'!$B328)+COUNTBLANK('Lista de Preços'!$C328)+COUNTBLANK('Lista de Preços'!$D328)+COUNTBLANK('Lista de Preços'!$E328)+COUNTBLANK('Lista de Preços'!$F328)+COUNTBLANK('Lista de Preços'!$L328)+COUNTBLANK('Lista de Preços'!$M328)+COUNTBLANK('Lista de Preços'!$P328)+COUNTBLANK('Lista de Preços'!$U328)+COUNTBLANK('Lista de Preços'!$V328))&gt;0,"ERRO","OK"),"")</f>
        <v/>
      </c>
      <c r="D339" s="27" t="str">
        <f aca="false">IF(COUNTA('Lista de Preços'!$A328:$W328)&gt;0,IF(OR(AND('Lista de Preços'!$L328&lt;&gt;"",NOT(ISNUMBER('Lista de Preços'!$L328))),AND('Lista de Preços'!$M328&lt;&gt;"",NOT(ISNUMBER('Lista de Preços'!$M328)))),"ERRO","OK"),"")</f>
        <v/>
      </c>
      <c r="E339" s="27" t="str">
        <f aca="false">IF(COUNTA('Lista de Preços'!$A328:$W328)&gt;0,IF(AND(ISNUMBER('Lista de Preços'!$L328),ISNUMBER('Lista de Preços'!$M328),'Lista de Preços'!$L328&gt;'Lista de Preços'!$M328),"ERRO","OK"),"")</f>
        <v/>
      </c>
      <c r="F339" s="27" t="str">
        <f aca="true">IF(COUNTA('Lista de Preços'!$A328:$W328)&gt;0,IF(AND('Lista de Preços'!$S328&lt;&gt;"",ISNUMBER('Lista de Preços'!$S328),'Lista de Preços'!$S328&lt;TODAY()),"ERRO","OK"),"")</f>
        <v/>
      </c>
      <c r="G339" s="27" t="str">
        <f aca="false">IF(COUNTA('Lista de Preços'!$A328:$W328)&gt;0,IF(AND('Lista de Preços'!$A328&lt;&gt;"",COUNTIF('Lista de Preços'!$A$4:$A$503,'Lista de Preços'!$A328)&gt;1),"ERRO","OK"),"")</f>
        <v/>
      </c>
      <c r="H339" s="27" t="str">
        <f aca="false">IF(COUNTA('Lista de Preços'!$A328:$W328)&gt;0,IF(AND('Lista de Preços'!$N328&lt;&gt;"",ISNUMBER('Lista de Preços'!$N328),OR('Lista de Preços'!$N328&lt;0,'Lista de Preços'!$N328&gt;0.5)),"ERRO","OK"),"")</f>
        <v/>
      </c>
      <c r="I339" s="27" t="str">
        <f aca="false">IF(COUNTA('Lista de Preços'!$A328:$W328)&gt;0,IF(OR($C339="ERRO",$D339="ERRO",$E339="ERRO",$F339="ERRO",$G339="ERRO",$H339="ERRO"),"FALHA","OK"),"")</f>
        <v/>
      </c>
    </row>
    <row r="340" customFormat="false" ht="15" hidden="false" customHeight="false" outlineLevel="0" collapsed="false">
      <c r="A340" s="26" t="n">
        <f aca="false">'Lista de Preços'!$A329</f>
        <v>0</v>
      </c>
      <c r="B340" s="26" t="n">
        <f aca="false">'Lista de Preços'!$B329</f>
        <v>0</v>
      </c>
      <c r="C340" s="27" t="str">
        <f aca="false">IF(COUNTA('Lista de Preços'!$A329:$W329)&gt;0,IF((COUNTBLANK('Lista de Preços'!$A329)+COUNTBLANK('Lista de Preços'!$B329)+COUNTBLANK('Lista de Preços'!$C329)+COUNTBLANK('Lista de Preços'!$D329)+COUNTBLANK('Lista de Preços'!$E329)+COUNTBLANK('Lista de Preços'!$F329)+COUNTBLANK('Lista de Preços'!$L329)+COUNTBLANK('Lista de Preços'!$M329)+COUNTBLANK('Lista de Preços'!$P329)+COUNTBLANK('Lista de Preços'!$U329)+COUNTBLANK('Lista de Preços'!$V329))&gt;0,"ERRO","OK"),"")</f>
        <v/>
      </c>
      <c r="D340" s="27" t="str">
        <f aca="false">IF(COUNTA('Lista de Preços'!$A329:$W329)&gt;0,IF(OR(AND('Lista de Preços'!$L329&lt;&gt;"",NOT(ISNUMBER('Lista de Preços'!$L329))),AND('Lista de Preços'!$M329&lt;&gt;"",NOT(ISNUMBER('Lista de Preços'!$M329)))),"ERRO","OK"),"")</f>
        <v/>
      </c>
      <c r="E340" s="27" t="str">
        <f aca="false">IF(COUNTA('Lista de Preços'!$A329:$W329)&gt;0,IF(AND(ISNUMBER('Lista de Preços'!$L329),ISNUMBER('Lista de Preços'!$M329),'Lista de Preços'!$L329&gt;'Lista de Preços'!$M329),"ERRO","OK"),"")</f>
        <v/>
      </c>
      <c r="F340" s="27" t="str">
        <f aca="true">IF(COUNTA('Lista de Preços'!$A329:$W329)&gt;0,IF(AND('Lista de Preços'!$S329&lt;&gt;"",ISNUMBER('Lista de Preços'!$S329),'Lista de Preços'!$S329&lt;TODAY()),"ERRO","OK"),"")</f>
        <v/>
      </c>
      <c r="G340" s="27" t="str">
        <f aca="false">IF(COUNTA('Lista de Preços'!$A329:$W329)&gt;0,IF(AND('Lista de Preços'!$A329&lt;&gt;"",COUNTIF('Lista de Preços'!$A$4:$A$503,'Lista de Preços'!$A329)&gt;1),"ERRO","OK"),"")</f>
        <v/>
      </c>
      <c r="H340" s="27" t="str">
        <f aca="false">IF(COUNTA('Lista de Preços'!$A329:$W329)&gt;0,IF(AND('Lista de Preços'!$N329&lt;&gt;"",ISNUMBER('Lista de Preços'!$N329),OR('Lista de Preços'!$N329&lt;0,'Lista de Preços'!$N329&gt;0.5)),"ERRO","OK"),"")</f>
        <v/>
      </c>
      <c r="I340" s="27" t="str">
        <f aca="false">IF(COUNTA('Lista de Preços'!$A329:$W329)&gt;0,IF(OR($C340="ERRO",$D340="ERRO",$E340="ERRO",$F340="ERRO",$G340="ERRO",$H340="ERRO"),"FALHA","OK"),"")</f>
        <v/>
      </c>
    </row>
    <row r="341" customFormat="false" ht="15" hidden="false" customHeight="false" outlineLevel="0" collapsed="false">
      <c r="A341" s="26" t="n">
        <f aca="false">'Lista de Preços'!$A330</f>
        <v>0</v>
      </c>
      <c r="B341" s="26" t="n">
        <f aca="false">'Lista de Preços'!$B330</f>
        <v>0</v>
      </c>
      <c r="C341" s="27" t="str">
        <f aca="false">IF(COUNTA('Lista de Preços'!$A330:$W330)&gt;0,IF((COUNTBLANK('Lista de Preços'!$A330)+COUNTBLANK('Lista de Preços'!$B330)+COUNTBLANK('Lista de Preços'!$C330)+COUNTBLANK('Lista de Preços'!$D330)+COUNTBLANK('Lista de Preços'!$E330)+COUNTBLANK('Lista de Preços'!$F330)+COUNTBLANK('Lista de Preços'!$L330)+COUNTBLANK('Lista de Preços'!$M330)+COUNTBLANK('Lista de Preços'!$P330)+COUNTBLANK('Lista de Preços'!$U330)+COUNTBLANK('Lista de Preços'!$V330))&gt;0,"ERRO","OK"),"")</f>
        <v/>
      </c>
      <c r="D341" s="27" t="str">
        <f aca="false">IF(COUNTA('Lista de Preços'!$A330:$W330)&gt;0,IF(OR(AND('Lista de Preços'!$L330&lt;&gt;"",NOT(ISNUMBER('Lista de Preços'!$L330))),AND('Lista de Preços'!$M330&lt;&gt;"",NOT(ISNUMBER('Lista de Preços'!$M330)))),"ERRO","OK"),"")</f>
        <v/>
      </c>
      <c r="E341" s="27" t="str">
        <f aca="false">IF(COUNTA('Lista de Preços'!$A330:$W330)&gt;0,IF(AND(ISNUMBER('Lista de Preços'!$L330),ISNUMBER('Lista de Preços'!$M330),'Lista de Preços'!$L330&gt;'Lista de Preços'!$M330),"ERRO","OK"),"")</f>
        <v/>
      </c>
      <c r="F341" s="27" t="str">
        <f aca="true">IF(COUNTA('Lista de Preços'!$A330:$W330)&gt;0,IF(AND('Lista de Preços'!$S330&lt;&gt;"",ISNUMBER('Lista de Preços'!$S330),'Lista de Preços'!$S330&lt;TODAY()),"ERRO","OK"),"")</f>
        <v/>
      </c>
      <c r="G341" s="27" t="str">
        <f aca="false">IF(COUNTA('Lista de Preços'!$A330:$W330)&gt;0,IF(AND('Lista de Preços'!$A330&lt;&gt;"",COUNTIF('Lista de Preços'!$A$4:$A$503,'Lista de Preços'!$A330)&gt;1),"ERRO","OK"),"")</f>
        <v/>
      </c>
      <c r="H341" s="27" t="str">
        <f aca="false">IF(COUNTA('Lista de Preços'!$A330:$W330)&gt;0,IF(AND('Lista de Preços'!$N330&lt;&gt;"",ISNUMBER('Lista de Preços'!$N330),OR('Lista de Preços'!$N330&lt;0,'Lista de Preços'!$N330&gt;0.5)),"ERRO","OK"),"")</f>
        <v/>
      </c>
      <c r="I341" s="27" t="str">
        <f aca="false">IF(COUNTA('Lista de Preços'!$A330:$W330)&gt;0,IF(OR($C341="ERRO",$D341="ERRO",$E341="ERRO",$F341="ERRO",$G341="ERRO",$H341="ERRO"),"FALHA","OK"),"")</f>
        <v/>
      </c>
    </row>
    <row r="342" customFormat="false" ht="15" hidden="false" customHeight="false" outlineLevel="0" collapsed="false">
      <c r="A342" s="26" t="n">
        <f aca="false">'Lista de Preços'!$A331</f>
        <v>0</v>
      </c>
      <c r="B342" s="26" t="n">
        <f aca="false">'Lista de Preços'!$B331</f>
        <v>0</v>
      </c>
      <c r="C342" s="27" t="str">
        <f aca="false">IF(COUNTA('Lista de Preços'!$A331:$W331)&gt;0,IF((COUNTBLANK('Lista de Preços'!$A331)+COUNTBLANK('Lista de Preços'!$B331)+COUNTBLANK('Lista de Preços'!$C331)+COUNTBLANK('Lista de Preços'!$D331)+COUNTBLANK('Lista de Preços'!$E331)+COUNTBLANK('Lista de Preços'!$F331)+COUNTBLANK('Lista de Preços'!$L331)+COUNTBLANK('Lista de Preços'!$M331)+COUNTBLANK('Lista de Preços'!$P331)+COUNTBLANK('Lista de Preços'!$U331)+COUNTBLANK('Lista de Preços'!$V331))&gt;0,"ERRO","OK"),"")</f>
        <v/>
      </c>
      <c r="D342" s="27" t="str">
        <f aca="false">IF(COUNTA('Lista de Preços'!$A331:$W331)&gt;0,IF(OR(AND('Lista de Preços'!$L331&lt;&gt;"",NOT(ISNUMBER('Lista de Preços'!$L331))),AND('Lista de Preços'!$M331&lt;&gt;"",NOT(ISNUMBER('Lista de Preços'!$M331)))),"ERRO","OK"),"")</f>
        <v/>
      </c>
      <c r="E342" s="27" t="str">
        <f aca="false">IF(COUNTA('Lista de Preços'!$A331:$W331)&gt;0,IF(AND(ISNUMBER('Lista de Preços'!$L331),ISNUMBER('Lista de Preços'!$M331),'Lista de Preços'!$L331&gt;'Lista de Preços'!$M331),"ERRO","OK"),"")</f>
        <v/>
      </c>
      <c r="F342" s="27" t="str">
        <f aca="true">IF(COUNTA('Lista de Preços'!$A331:$W331)&gt;0,IF(AND('Lista de Preços'!$S331&lt;&gt;"",ISNUMBER('Lista de Preços'!$S331),'Lista de Preços'!$S331&lt;TODAY()),"ERRO","OK"),"")</f>
        <v/>
      </c>
      <c r="G342" s="27" t="str">
        <f aca="false">IF(COUNTA('Lista de Preços'!$A331:$W331)&gt;0,IF(AND('Lista de Preços'!$A331&lt;&gt;"",COUNTIF('Lista de Preços'!$A$4:$A$503,'Lista de Preços'!$A331)&gt;1),"ERRO","OK"),"")</f>
        <v/>
      </c>
      <c r="H342" s="27" t="str">
        <f aca="false">IF(COUNTA('Lista de Preços'!$A331:$W331)&gt;0,IF(AND('Lista de Preços'!$N331&lt;&gt;"",ISNUMBER('Lista de Preços'!$N331),OR('Lista de Preços'!$N331&lt;0,'Lista de Preços'!$N331&gt;0.5)),"ERRO","OK"),"")</f>
        <v/>
      </c>
      <c r="I342" s="27" t="str">
        <f aca="false">IF(COUNTA('Lista de Preços'!$A331:$W331)&gt;0,IF(OR($C342="ERRO",$D342="ERRO",$E342="ERRO",$F342="ERRO",$G342="ERRO",$H342="ERRO"),"FALHA","OK"),"")</f>
        <v/>
      </c>
    </row>
    <row r="343" customFormat="false" ht="15" hidden="false" customHeight="false" outlineLevel="0" collapsed="false">
      <c r="A343" s="26" t="n">
        <f aca="false">'Lista de Preços'!$A332</f>
        <v>0</v>
      </c>
      <c r="B343" s="26" t="n">
        <f aca="false">'Lista de Preços'!$B332</f>
        <v>0</v>
      </c>
      <c r="C343" s="27" t="str">
        <f aca="false">IF(COUNTA('Lista de Preços'!$A332:$W332)&gt;0,IF((COUNTBLANK('Lista de Preços'!$A332)+COUNTBLANK('Lista de Preços'!$B332)+COUNTBLANK('Lista de Preços'!$C332)+COUNTBLANK('Lista de Preços'!$D332)+COUNTBLANK('Lista de Preços'!$E332)+COUNTBLANK('Lista de Preços'!$F332)+COUNTBLANK('Lista de Preços'!$L332)+COUNTBLANK('Lista de Preços'!$M332)+COUNTBLANK('Lista de Preços'!$P332)+COUNTBLANK('Lista de Preços'!$U332)+COUNTBLANK('Lista de Preços'!$V332))&gt;0,"ERRO","OK"),"")</f>
        <v/>
      </c>
      <c r="D343" s="27" t="str">
        <f aca="false">IF(COUNTA('Lista de Preços'!$A332:$W332)&gt;0,IF(OR(AND('Lista de Preços'!$L332&lt;&gt;"",NOT(ISNUMBER('Lista de Preços'!$L332))),AND('Lista de Preços'!$M332&lt;&gt;"",NOT(ISNUMBER('Lista de Preços'!$M332)))),"ERRO","OK"),"")</f>
        <v/>
      </c>
      <c r="E343" s="27" t="str">
        <f aca="false">IF(COUNTA('Lista de Preços'!$A332:$W332)&gt;0,IF(AND(ISNUMBER('Lista de Preços'!$L332),ISNUMBER('Lista de Preços'!$M332),'Lista de Preços'!$L332&gt;'Lista de Preços'!$M332),"ERRO","OK"),"")</f>
        <v/>
      </c>
      <c r="F343" s="27" t="str">
        <f aca="true">IF(COUNTA('Lista de Preços'!$A332:$W332)&gt;0,IF(AND('Lista de Preços'!$S332&lt;&gt;"",ISNUMBER('Lista de Preços'!$S332),'Lista de Preços'!$S332&lt;TODAY()),"ERRO","OK"),"")</f>
        <v/>
      </c>
      <c r="G343" s="27" t="str">
        <f aca="false">IF(COUNTA('Lista de Preços'!$A332:$W332)&gt;0,IF(AND('Lista de Preços'!$A332&lt;&gt;"",COUNTIF('Lista de Preços'!$A$4:$A$503,'Lista de Preços'!$A332)&gt;1),"ERRO","OK"),"")</f>
        <v/>
      </c>
      <c r="H343" s="27" t="str">
        <f aca="false">IF(COUNTA('Lista de Preços'!$A332:$W332)&gt;0,IF(AND('Lista de Preços'!$N332&lt;&gt;"",ISNUMBER('Lista de Preços'!$N332),OR('Lista de Preços'!$N332&lt;0,'Lista de Preços'!$N332&gt;0.5)),"ERRO","OK"),"")</f>
        <v/>
      </c>
      <c r="I343" s="27" t="str">
        <f aca="false">IF(COUNTA('Lista de Preços'!$A332:$W332)&gt;0,IF(OR($C343="ERRO",$D343="ERRO",$E343="ERRO",$F343="ERRO",$G343="ERRO",$H343="ERRO"),"FALHA","OK"),"")</f>
        <v/>
      </c>
    </row>
    <row r="344" customFormat="false" ht="15" hidden="false" customHeight="false" outlineLevel="0" collapsed="false">
      <c r="A344" s="26" t="n">
        <f aca="false">'Lista de Preços'!$A333</f>
        <v>0</v>
      </c>
      <c r="B344" s="26" t="n">
        <f aca="false">'Lista de Preços'!$B333</f>
        <v>0</v>
      </c>
      <c r="C344" s="27" t="str">
        <f aca="false">IF(COUNTA('Lista de Preços'!$A333:$W333)&gt;0,IF((COUNTBLANK('Lista de Preços'!$A333)+COUNTBLANK('Lista de Preços'!$B333)+COUNTBLANK('Lista de Preços'!$C333)+COUNTBLANK('Lista de Preços'!$D333)+COUNTBLANK('Lista de Preços'!$E333)+COUNTBLANK('Lista de Preços'!$F333)+COUNTBLANK('Lista de Preços'!$L333)+COUNTBLANK('Lista de Preços'!$M333)+COUNTBLANK('Lista de Preços'!$P333)+COUNTBLANK('Lista de Preços'!$U333)+COUNTBLANK('Lista de Preços'!$V333))&gt;0,"ERRO","OK"),"")</f>
        <v/>
      </c>
      <c r="D344" s="27" t="str">
        <f aca="false">IF(COUNTA('Lista de Preços'!$A333:$W333)&gt;0,IF(OR(AND('Lista de Preços'!$L333&lt;&gt;"",NOT(ISNUMBER('Lista de Preços'!$L333))),AND('Lista de Preços'!$M333&lt;&gt;"",NOT(ISNUMBER('Lista de Preços'!$M333)))),"ERRO","OK"),"")</f>
        <v/>
      </c>
      <c r="E344" s="27" t="str">
        <f aca="false">IF(COUNTA('Lista de Preços'!$A333:$W333)&gt;0,IF(AND(ISNUMBER('Lista de Preços'!$L333),ISNUMBER('Lista de Preços'!$M333),'Lista de Preços'!$L333&gt;'Lista de Preços'!$M333),"ERRO","OK"),"")</f>
        <v/>
      </c>
      <c r="F344" s="27" t="str">
        <f aca="true">IF(COUNTA('Lista de Preços'!$A333:$W333)&gt;0,IF(AND('Lista de Preços'!$S333&lt;&gt;"",ISNUMBER('Lista de Preços'!$S333),'Lista de Preços'!$S333&lt;TODAY()),"ERRO","OK"),"")</f>
        <v/>
      </c>
      <c r="G344" s="27" t="str">
        <f aca="false">IF(COUNTA('Lista de Preços'!$A333:$W333)&gt;0,IF(AND('Lista de Preços'!$A333&lt;&gt;"",COUNTIF('Lista de Preços'!$A$4:$A$503,'Lista de Preços'!$A333)&gt;1),"ERRO","OK"),"")</f>
        <v/>
      </c>
      <c r="H344" s="27" t="str">
        <f aca="false">IF(COUNTA('Lista de Preços'!$A333:$W333)&gt;0,IF(AND('Lista de Preços'!$N333&lt;&gt;"",ISNUMBER('Lista de Preços'!$N333),OR('Lista de Preços'!$N333&lt;0,'Lista de Preços'!$N333&gt;0.5)),"ERRO","OK"),"")</f>
        <v/>
      </c>
      <c r="I344" s="27" t="str">
        <f aca="false">IF(COUNTA('Lista de Preços'!$A333:$W333)&gt;0,IF(OR($C344="ERRO",$D344="ERRO",$E344="ERRO",$F344="ERRO",$G344="ERRO",$H344="ERRO"),"FALHA","OK"),"")</f>
        <v/>
      </c>
    </row>
    <row r="345" customFormat="false" ht="15" hidden="false" customHeight="false" outlineLevel="0" collapsed="false">
      <c r="A345" s="26" t="n">
        <f aca="false">'Lista de Preços'!$A334</f>
        <v>0</v>
      </c>
      <c r="B345" s="26" t="n">
        <f aca="false">'Lista de Preços'!$B334</f>
        <v>0</v>
      </c>
      <c r="C345" s="27" t="str">
        <f aca="false">IF(COUNTA('Lista de Preços'!$A334:$W334)&gt;0,IF((COUNTBLANK('Lista de Preços'!$A334)+COUNTBLANK('Lista de Preços'!$B334)+COUNTBLANK('Lista de Preços'!$C334)+COUNTBLANK('Lista de Preços'!$D334)+COUNTBLANK('Lista de Preços'!$E334)+COUNTBLANK('Lista de Preços'!$F334)+COUNTBLANK('Lista de Preços'!$L334)+COUNTBLANK('Lista de Preços'!$M334)+COUNTBLANK('Lista de Preços'!$P334)+COUNTBLANK('Lista de Preços'!$U334)+COUNTBLANK('Lista de Preços'!$V334))&gt;0,"ERRO","OK"),"")</f>
        <v/>
      </c>
      <c r="D345" s="27" t="str">
        <f aca="false">IF(COUNTA('Lista de Preços'!$A334:$W334)&gt;0,IF(OR(AND('Lista de Preços'!$L334&lt;&gt;"",NOT(ISNUMBER('Lista de Preços'!$L334))),AND('Lista de Preços'!$M334&lt;&gt;"",NOT(ISNUMBER('Lista de Preços'!$M334)))),"ERRO","OK"),"")</f>
        <v/>
      </c>
      <c r="E345" s="27" t="str">
        <f aca="false">IF(COUNTA('Lista de Preços'!$A334:$W334)&gt;0,IF(AND(ISNUMBER('Lista de Preços'!$L334),ISNUMBER('Lista de Preços'!$M334),'Lista de Preços'!$L334&gt;'Lista de Preços'!$M334),"ERRO","OK"),"")</f>
        <v/>
      </c>
      <c r="F345" s="27" t="str">
        <f aca="true">IF(COUNTA('Lista de Preços'!$A334:$W334)&gt;0,IF(AND('Lista de Preços'!$S334&lt;&gt;"",ISNUMBER('Lista de Preços'!$S334),'Lista de Preços'!$S334&lt;TODAY()),"ERRO","OK"),"")</f>
        <v/>
      </c>
      <c r="G345" s="27" t="str">
        <f aca="false">IF(COUNTA('Lista de Preços'!$A334:$W334)&gt;0,IF(AND('Lista de Preços'!$A334&lt;&gt;"",COUNTIF('Lista de Preços'!$A$4:$A$503,'Lista de Preços'!$A334)&gt;1),"ERRO","OK"),"")</f>
        <v/>
      </c>
      <c r="H345" s="27" t="str">
        <f aca="false">IF(COUNTA('Lista de Preços'!$A334:$W334)&gt;0,IF(AND('Lista de Preços'!$N334&lt;&gt;"",ISNUMBER('Lista de Preços'!$N334),OR('Lista de Preços'!$N334&lt;0,'Lista de Preços'!$N334&gt;0.5)),"ERRO","OK"),"")</f>
        <v/>
      </c>
      <c r="I345" s="27" t="str">
        <f aca="false">IF(COUNTA('Lista de Preços'!$A334:$W334)&gt;0,IF(OR($C345="ERRO",$D345="ERRO",$E345="ERRO",$F345="ERRO",$G345="ERRO",$H345="ERRO"),"FALHA","OK"),"")</f>
        <v/>
      </c>
    </row>
    <row r="346" customFormat="false" ht="15" hidden="false" customHeight="false" outlineLevel="0" collapsed="false">
      <c r="A346" s="26" t="n">
        <f aca="false">'Lista de Preços'!$A335</f>
        <v>0</v>
      </c>
      <c r="B346" s="26" t="n">
        <f aca="false">'Lista de Preços'!$B335</f>
        <v>0</v>
      </c>
      <c r="C346" s="27" t="str">
        <f aca="false">IF(COUNTA('Lista de Preços'!$A335:$W335)&gt;0,IF((COUNTBLANK('Lista de Preços'!$A335)+COUNTBLANK('Lista de Preços'!$B335)+COUNTBLANK('Lista de Preços'!$C335)+COUNTBLANK('Lista de Preços'!$D335)+COUNTBLANK('Lista de Preços'!$E335)+COUNTBLANK('Lista de Preços'!$F335)+COUNTBLANK('Lista de Preços'!$L335)+COUNTBLANK('Lista de Preços'!$M335)+COUNTBLANK('Lista de Preços'!$P335)+COUNTBLANK('Lista de Preços'!$U335)+COUNTBLANK('Lista de Preços'!$V335))&gt;0,"ERRO","OK"),"")</f>
        <v/>
      </c>
      <c r="D346" s="27" t="str">
        <f aca="false">IF(COUNTA('Lista de Preços'!$A335:$W335)&gt;0,IF(OR(AND('Lista de Preços'!$L335&lt;&gt;"",NOT(ISNUMBER('Lista de Preços'!$L335))),AND('Lista de Preços'!$M335&lt;&gt;"",NOT(ISNUMBER('Lista de Preços'!$M335)))),"ERRO","OK"),"")</f>
        <v/>
      </c>
      <c r="E346" s="27" t="str">
        <f aca="false">IF(COUNTA('Lista de Preços'!$A335:$W335)&gt;0,IF(AND(ISNUMBER('Lista de Preços'!$L335),ISNUMBER('Lista de Preços'!$M335),'Lista de Preços'!$L335&gt;'Lista de Preços'!$M335),"ERRO","OK"),"")</f>
        <v/>
      </c>
      <c r="F346" s="27" t="str">
        <f aca="true">IF(COUNTA('Lista de Preços'!$A335:$W335)&gt;0,IF(AND('Lista de Preços'!$S335&lt;&gt;"",ISNUMBER('Lista de Preços'!$S335),'Lista de Preços'!$S335&lt;TODAY()),"ERRO","OK"),"")</f>
        <v/>
      </c>
      <c r="G346" s="27" t="str">
        <f aca="false">IF(COUNTA('Lista de Preços'!$A335:$W335)&gt;0,IF(AND('Lista de Preços'!$A335&lt;&gt;"",COUNTIF('Lista de Preços'!$A$4:$A$503,'Lista de Preços'!$A335)&gt;1),"ERRO","OK"),"")</f>
        <v/>
      </c>
      <c r="H346" s="27" t="str">
        <f aca="false">IF(COUNTA('Lista de Preços'!$A335:$W335)&gt;0,IF(AND('Lista de Preços'!$N335&lt;&gt;"",ISNUMBER('Lista de Preços'!$N335),OR('Lista de Preços'!$N335&lt;0,'Lista de Preços'!$N335&gt;0.5)),"ERRO","OK"),"")</f>
        <v/>
      </c>
      <c r="I346" s="27" t="str">
        <f aca="false">IF(COUNTA('Lista de Preços'!$A335:$W335)&gt;0,IF(OR($C346="ERRO",$D346="ERRO",$E346="ERRO",$F346="ERRO",$G346="ERRO",$H346="ERRO"),"FALHA","OK"),"")</f>
        <v/>
      </c>
    </row>
    <row r="347" customFormat="false" ht="15" hidden="false" customHeight="false" outlineLevel="0" collapsed="false">
      <c r="A347" s="26" t="n">
        <f aca="false">'Lista de Preços'!$A336</f>
        <v>0</v>
      </c>
      <c r="B347" s="26" t="n">
        <f aca="false">'Lista de Preços'!$B336</f>
        <v>0</v>
      </c>
      <c r="C347" s="27" t="str">
        <f aca="false">IF(COUNTA('Lista de Preços'!$A336:$W336)&gt;0,IF((COUNTBLANK('Lista de Preços'!$A336)+COUNTBLANK('Lista de Preços'!$B336)+COUNTBLANK('Lista de Preços'!$C336)+COUNTBLANK('Lista de Preços'!$D336)+COUNTBLANK('Lista de Preços'!$E336)+COUNTBLANK('Lista de Preços'!$F336)+COUNTBLANK('Lista de Preços'!$L336)+COUNTBLANK('Lista de Preços'!$M336)+COUNTBLANK('Lista de Preços'!$P336)+COUNTBLANK('Lista de Preços'!$U336)+COUNTBLANK('Lista de Preços'!$V336))&gt;0,"ERRO","OK"),"")</f>
        <v/>
      </c>
      <c r="D347" s="27" t="str">
        <f aca="false">IF(COUNTA('Lista de Preços'!$A336:$W336)&gt;0,IF(OR(AND('Lista de Preços'!$L336&lt;&gt;"",NOT(ISNUMBER('Lista de Preços'!$L336))),AND('Lista de Preços'!$M336&lt;&gt;"",NOT(ISNUMBER('Lista de Preços'!$M336)))),"ERRO","OK"),"")</f>
        <v/>
      </c>
      <c r="E347" s="27" t="str">
        <f aca="false">IF(COUNTA('Lista de Preços'!$A336:$W336)&gt;0,IF(AND(ISNUMBER('Lista de Preços'!$L336),ISNUMBER('Lista de Preços'!$M336),'Lista de Preços'!$L336&gt;'Lista de Preços'!$M336),"ERRO","OK"),"")</f>
        <v/>
      </c>
      <c r="F347" s="27" t="str">
        <f aca="true">IF(COUNTA('Lista de Preços'!$A336:$W336)&gt;0,IF(AND('Lista de Preços'!$S336&lt;&gt;"",ISNUMBER('Lista de Preços'!$S336),'Lista de Preços'!$S336&lt;TODAY()),"ERRO","OK"),"")</f>
        <v/>
      </c>
      <c r="G347" s="27" t="str">
        <f aca="false">IF(COUNTA('Lista de Preços'!$A336:$W336)&gt;0,IF(AND('Lista de Preços'!$A336&lt;&gt;"",COUNTIF('Lista de Preços'!$A$4:$A$503,'Lista de Preços'!$A336)&gt;1),"ERRO","OK"),"")</f>
        <v/>
      </c>
      <c r="H347" s="27" t="str">
        <f aca="false">IF(COUNTA('Lista de Preços'!$A336:$W336)&gt;0,IF(AND('Lista de Preços'!$N336&lt;&gt;"",ISNUMBER('Lista de Preços'!$N336),OR('Lista de Preços'!$N336&lt;0,'Lista de Preços'!$N336&gt;0.5)),"ERRO","OK"),"")</f>
        <v/>
      </c>
      <c r="I347" s="27" t="str">
        <f aca="false">IF(COUNTA('Lista de Preços'!$A336:$W336)&gt;0,IF(OR($C347="ERRO",$D347="ERRO",$E347="ERRO",$F347="ERRO",$G347="ERRO",$H347="ERRO"),"FALHA","OK"),"")</f>
        <v/>
      </c>
    </row>
    <row r="348" customFormat="false" ht="15" hidden="false" customHeight="false" outlineLevel="0" collapsed="false">
      <c r="A348" s="26" t="n">
        <f aca="false">'Lista de Preços'!$A337</f>
        <v>0</v>
      </c>
      <c r="B348" s="26" t="n">
        <f aca="false">'Lista de Preços'!$B337</f>
        <v>0</v>
      </c>
      <c r="C348" s="27" t="str">
        <f aca="false">IF(COUNTA('Lista de Preços'!$A337:$W337)&gt;0,IF((COUNTBLANK('Lista de Preços'!$A337)+COUNTBLANK('Lista de Preços'!$B337)+COUNTBLANK('Lista de Preços'!$C337)+COUNTBLANK('Lista de Preços'!$D337)+COUNTBLANK('Lista de Preços'!$E337)+COUNTBLANK('Lista de Preços'!$F337)+COUNTBLANK('Lista de Preços'!$L337)+COUNTBLANK('Lista de Preços'!$M337)+COUNTBLANK('Lista de Preços'!$P337)+COUNTBLANK('Lista de Preços'!$U337)+COUNTBLANK('Lista de Preços'!$V337))&gt;0,"ERRO","OK"),"")</f>
        <v/>
      </c>
      <c r="D348" s="27" t="str">
        <f aca="false">IF(COUNTA('Lista de Preços'!$A337:$W337)&gt;0,IF(OR(AND('Lista de Preços'!$L337&lt;&gt;"",NOT(ISNUMBER('Lista de Preços'!$L337))),AND('Lista de Preços'!$M337&lt;&gt;"",NOT(ISNUMBER('Lista de Preços'!$M337)))),"ERRO","OK"),"")</f>
        <v/>
      </c>
      <c r="E348" s="27" t="str">
        <f aca="false">IF(COUNTA('Lista de Preços'!$A337:$W337)&gt;0,IF(AND(ISNUMBER('Lista de Preços'!$L337),ISNUMBER('Lista de Preços'!$M337),'Lista de Preços'!$L337&gt;'Lista de Preços'!$M337),"ERRO","OK"),"")</f>
        <v/>
      </c>
      <c r="F348" s="27" t="str">
        <f aca="true">IF(COUNTA('Lista de Preços'!$A337:$W337)&gt;0,IF(AND('Lista de Preços'!$S337&lt;&gt;"",ISNUMBER('Lista de Preços'!$S337),'Lista de Preços'!$S337&lt;TODAY()),"ERRO","OK"),"")</f>
        <v/>
      </c>
      <c r="G348" s="27" t="str">
        <f aca="false">IF(COUNTA('Lista de Preços'!$A337:$W337)&gt;0,IF(AND('Lista de Preços'!$A337&lt;&gt;"",COUNTIF('Lista de Preços'!$A$4:$A$503,'Lista de Preços'!$A337)&gt;1),"ERRO","OK"),"")</f>
        <v/>
      </c>
      <c r="H348" s="27" t="str">
        <f aca="false">IF(COUNTA('Lista de Preços'!$A337:$W337)&gt;0,IF(AND('Lista de Preços'!$N337&lt;&gt;"",ISNUMBER('Lista de Preços'!$N337),OR('Lista de Preços'!$N337&lt;0,'Lista de Preços'!$N337&gt;0.5)),"ERRO","OK"),"")</f>
        <v/>
      </c>
      <c r="I348" s="27" t="str">
        <f aca="false">IF(COUNTA('Lista de Preços'!$A337:$W337)&gt;0,IF(OR($C348="ERRO",$D348="ERRO",$E348="ERRO",$F348="ERRO",$G348="ERRO",$H348="ERRO"),"FALHA","OK"),"")</f>
        <v/>
      </c>
    </row>
    <row r="349" customFormat="false" ht="15" hidden="false" customHeight="false" outlineLevel="0" collapsed="false">
      <c r="A349" s="26" t="n">
        <f aca="false">'Lista de Preços'!$A338</f>
        <v>0</v>
      </c>
      <c r="B349" s="26" t="n">
        <f aca="false">'Lista de Preços'!$B338</f>
        <v>0</v>
      </c>
      <c r="C349" s="27" t="str">
        <f aca="false">IF(COUNTA('Lista de Preços'!$A338:$W338)&gt;0,IF((COUNTBLANK('Lista de Preços'!$A338)+COUNTBLANK('Lista de Preços'!$B338)+COUNTBLANK('Lista de Preços'!$C338)+COUNTBLANK('Lista de Preços'!$D338)+COUNTBLANK('Lista de Preços'!$E338)+COUNTBLANK('Lista de Preços'!$F338)+COUNTBLANK('Lista de Preços'!$L338)+COUNTBLANK('Lista de Preços'!$M338)+COUNTBLANK('Lista de Preços'!$P338)+COUNTBLANK('Lista de Preços'!$U338)+COUNTBLANK('Lista de Preços'!$V338))&gt;0,"ERRO","OK"),"")</f>
        <v/>
      </c>
      <c r="D349" s="27" t="str">
        <f aca="false">IF(COUNTA('Lista de Preços'!$A338:$W338)&gt;0,IF(OR(AND('Lista de Preços'!$L338&lt;&gt;"",NOT(ISNUMBER('Lista de Preços'!$L338))),AND('Lista de Preços'!$M338&lt;&gt;"",NOT(ISNUMBER('Lista de Preços'!$M338)))),"ERRO","OK"),"")</f>
        <v/>
      </c>
      <c r="E349" s="27" t="str">
        <f aca="false">IF(COUNTA('Lista de Preços'!$A338:$W338)&gt;0,IF(AND(ISNUMBER('Lista de Preços'!$L338),ISNUMBER('Lista de Preços'!$M338),'Lista de Preços'!$L338&gt;'Lista de Preços'!$M338),"ERRO","OK"),"")</f>
        <v/>
      </c>
      <c r="F349" s="27" t="str">
        <f aca="true">IF(COUNTA('Lista de Preços'!$A338:$W338)&gt;0,IF(AND('Lista de Preços'!$S338&lt;&gt;"",ISNUMBER('Lista de Preços'!$S338),'Lista de Preços'!$S338&lt;TODAY()),"ERRO","OK"),"")</f>
        <v/>
      </c>
      <c r="G349" s="27" t="str">
        <f aca="false">IF(COUNTA('Lista de Preços'!$A338:$W338)&gt;0,IF(AND('Lista de Preços'!$A338&lt;&gt;"",COUNTIF('Lista de Preços'!$A$4:$A$503,'Lista de Preços'!$A338)&gt;1),"ERRO","OK"),"")</f>
        <v/>
      </c>
      <c r="H349" s="27" t="str">
        <f aca="false">IF(COUNTA('Lista de Preços'!$A338:$W338)&gt;0,IF(AND('Lista de Preços'!$N338&lt;&gt;"",ISNUMBER('Lista de Preços'!$N338),OR('Lista de Preços'!$N338&lt;0,'Lista de Preços'!$N338&gt;0.5)),"ERRO","OK"),"")</f>
        <v/>
      </c>
      <c r="I349" s="27" t="str">
        <f aca="false">IF(COUNTA('Lista de Preços'!$A338:$W338)&gt;0,IF(OR($C349="ERRO",$D349="ERRO",$E349="ERRO",$F349="ERRO",$G349="ERRO",$H349="ERRO"),"FALHA","OK"),"")</f>
        <v/>
      </c>
    </row>
    <row r="350" customFormat="false" ht="15" hidden="false" customHeight="false" outlineLevel="0" collapsed="false">
      <c r="A350" s="26" t="n">
        <f aca="false">'Lista de Preços'!$A339</f>
        <v>0</v>
      </c>
      <c r="B350" s="26" t="n">
        <f aca="false">'Lista de Preços'!$B339</f>
        <v>0</v>
      </c>
      <c r="C350" s="27" t="str">
        <f aca="false">IF(COUNTA('Lista de Preços'!$A339:$W339)&gt;0,IF((COUNTBLANK('Lista de Preços'!$A339)+COUNTBLANK('Lista de Preços'!$B339)+COUNTBLANK('Lista de Preços'!$C339)+COUNTBLANK('Lista de Preços'!$D339)+COUNTBLANK('Lista de Preços'!$E339)+COUNTBLANK('Lista de Preços'!$F339)+COUNTBLANK('Lista de Preços'!$L339)+COUNTBLANK('Lista de Preços'!$M339)+COUNTBLANK('Lista de Preços'!$P339)+COUNTBLANK('Lista de Preços'!$U339)+COUNTBLANK('Lista de Preços'!$V339))&gt;0,"ERRO","OK"),"")</f>
        <v/>
      </c>
      <c r="D350" s="27" t="str">
        <f aca="false">IF(COUNTA('Lista de Preços'!$A339:$W339)&gt;0,IF(OR(AND('Lista de Preços'!$L339&lt;&gt;"",NOT(ISNUMBER('Lista de Preços'!$L339))),AND('Lista de Preços'!$M339&lt;&gt;"",NOT(ISNUMBER('Lista de Preços'!$M339)))),"ERRO","OK"),"")</f>
        <v/>
      </c>
      <c r="E350" s="27" t="str">
        <f aca="false">IF(COUNTA('Lista de Preços'!$A339:$W339)&gt;0,IF(AND(ISNUMBER('Lista de Preços'!$L339),ISNUMBER('Lista de Preços'!$M339),'Lista de Preços'!$L339&gt;'Lista de Preços'!$M339),"ERRO","OK"),"")</f>
        <v/>
      </c>
      <c r="F350" s="27" t="str">
        <f aca="true">IF(COUNTA('Lista de Preços'!$A339:$W339)&gt;0,IF(AND('Lista de Preços'!$S339&lt;&gt;"",ISNUMBER('Lista de Preços'!$S339),'Lista de Preços'!$S339&lt;TODAY()),"ERRO","OK"),"")</f>
        <v/>
      </c>
      <c r="G350" s="27" t="str">
        <f aca="false">IF(COUNTA('Lista de Preços'!$A339:$W339)&gt;0,IF(AND('Lista de Preços'!$A339&lt;&gt;"",COUNTIF('Lista de Preços'!$A$4:$A$503,'Lista de Preços'!$A339)&gt;1),"ERRO","OK"),"")</f>
        <v/>
      </c>
      <c r="H350" s="27" t="str">
        <f aca="false">IF(COUNTA('Lista de Preços'!$A339:$W339)&gt;0,IF(AND('Lista de Preços'!$N339&lt;&gt;"",ISNUMBER('Lista de Preços'!$N339),OR('Lista de Preços'!$N339&lt;0,'Lista de Preços'!$N339&gt;0.5)),"ERRO","OK"),"")</f>
        <v/>
      </c>
      <c r="I350" s="27" t="str">
        <f aca="false">IF(COUNTA('Lista de Preços'!$A339:$W339)&gt;0,IF(OR($C350="ERRO",$D350="ERRO",$E350="ERRO",$F350="ERRO",$G350="ERRO",$H350="ERRO"),"FALHA","OK"),"")</f>
        <v/>
      </c>
    </row>
    <row r="351" customFormat="false" ht="15" hidden="false" customHeight="false" outlineLevel="0" collapsed="false">
      <c r="A351" s="26" t="n">
        <f aca="false">'Lista de Preços'!$A340</f>
        <v>0</v>
      </c>
      <c r="B351" s="26" t="n">
        <f aca="false">'Lista de Preços'!$B340</f>
        <v>0</v>
      </c>
      <c r="C351" s="27" t="str">
        <f aca="false">IF(COUNTA('Lista de Preços'!$A340:$W340)&gt;0,IF((COUNTBLANK('Lista de Preços'!$A340)+COUNTBLANK('Lista de Preços'!$B340)+COUNTBLANK('Lista de Preços'!$C340)+COUNTBLANK('Lista de Preços'!$D340)+COUNTBLANK('Lista de Preços'!$E340)+COUNTBLANK('Lista de Preços'!$F340)+COUNTBLANK('Lista de Preços'!$L340)+COUNTBLANK('Lista de Preços'!$M340)+COUNTBLANK('Lista de Preços'!$P340)+COUNTBLANK('Lista de Preços'!$U340)+COUNTBLANK('Lista de Preços'!$V340))&gt;0,"ERRO","OK"),"")</f>
        <v/>
      </c>
      <c r="D351" s="27" t="str">
        <f aca="false">IF(COUNTA('Lista de Preços'!$A340:$W340)&gt;0,IF(OR(AND('Lista de Preços'!$L340&lt;&gt;"",NOT(ISNUMBER('Lista de Preços'!$L340))),AND('Lista de Preços'!$M340&lt;&gt;"",NOT(ISNUMBER('Lista de Preços'!$M340)))),"ERRO","OK"),"")</f>
        <v/>
      </c>
      <c r="E351" s="27" t="str">
        <f aca="false">IF(COUNTA('Lista de Preços'!$A340:$W340)&gt;0,IF(AND(ISNUMBER('Lista de Preços'!$L340),ISNUMBER('Lista de Preços'!$M340),'Lista de Preços'!$L340&gt;'Lista de Preços'!$M340),"ERRO","OK"),"")</f>
        <v/>
      </c>
      <c r="F351" s="27" t="str">
        <f aca="true">IF(COUNTA('Lista de Preços'!$A340:$W340)&gt;0,IF(AND('Lista de Preços'!$S340&lt;&gt;"",ISNUMBER('Lista de Preços'!$S340),'Lista de Preços'!$S340&lt;TODAY()),"ERRO","OK"),"")</f>
        <v/>
      </c>
      <c r="G351" s="27" t="str">
        <f aca="false">IF(COUNTA('Lista de Preços'!$A340:$W340)&gt;0,IF(AND('Lista de Preços'!$A340&lt;&gt;"",COUNTIF('Lista de Preços'!$A$4:$A$503,'Lista de Preços'!$A340)&gt;1),"ERRO","OK"),"")</f>
        <v/>
      </c>
      <c r="H351" s="27" t="str">
        <f aca="false">IF(COUNTA('Lista de Preços'!$A340:$W340)&gt;0,IF(AND('Lista de Preços'!$N340&lt;&gt;"",ISNUMBER('Lista de Preços'!$N340),OR('Lista de Preços'!$N340&lt;0,'Lista de Preços'!$N340&gt;0.5)),"ERRO","OK"),"")</f>
        <v/>
      </c>
      <c r="I351" s="27" t="str">
        <f aca="false">IF(COUNTA('Lista de Preços'!$A340:$W340)&gt;0,IF(OR($C351="ERRO",$D351="ERRO",$E351="ERRO",$F351="ERRO",$G351="ERRO",$H351="ERRO"),"FALHA","OK"),"")</f>
        <v/>
      </c>
    </row>
    <row r="352" customFormat="false" ht="15" hidden="false" customHeight="false" outlineLevel="0" collapsed="false">
      <c r="A352" s="26" t="n">
        <f aca="false">'Lista de Preços'!$A341</f>
        <v>0</v>
      </c>
      <c r="B352" s="26" t="n">
        <f aca="false">'Lista de Preços'!$B341</f>
        <v>0</v>
      </c>
      <c r="C352" s="27" t="str">
        <f aca="false">IF(COUNTA('Lista de Preços'!$A341:$W341)&gt;0,IF((COUNTBLANK('Lista de Preços'!$A341)+COUNTBLANK('Lista de Preços'!$B341)+COUNTBLANK('Lista de Preços'!$C341)+COUNTBLANK('Lista de Preços'!$D341)+COUNTBLANK('Lista de Preços'!$E341)+COUNTBLANK('Lista de Preços'!$F341)+COUNTBLANK('Lista de Preços'!$L341)+COUNTBLANK('Lista de Preços'!$M341)+COUNTBLANK('Lista de Preços'!$P341)+COUNTBLANK('Lista de Preços'!$U341)+COUNTBLANK('Lista de Preços'!$V341))&gt;0,"ERRO","OK"),"")</f>
        <v/>
      </c>
      <c r="D352" s="27" t="str">
        <f aca="false">IF(COUNTA('Lista de Preços'!$A341:$W341)&gt;0,IF(OR(AND('Lista de Preços'!$L341&lt;&gt;"",NOT(ISNUMBER('Lista de Preços'!$L341))),AND('Lista de Preços'!$M341&lt;&gt;"",NOT(ISNUMBER('Lista de Preços'!$M341)))),"ERRO","OK"),"")</f>
        <v/>
      </c>
      <c r="E352" s="27" t="str">
        <f aca="false">IF(COUNTA('Lista de Preços'!$A341:$W341)&gt;0,IF(AND(ISNUMBER('Lista de Preços'!$L341),ISNUMBER('Lista de Preços'!$M341),'Lista de Preços'!$L341&gt;'Lista de Preços'!$M341),"ERRO","OK"),"")</f>
        <v/>
      </c>
      <c r="F352" s="27" t="str">
        <f aca="true">IF(COUNTA('Lista de Preços'!$A341:$W341)&gt;0,IF(AND('Lista de Preços'!$S341&lt;&gt;"",ISNUMBER('Lista de Preços'!$S341),'Lista de Preços'!$S341&lt;TODAY()),"ERRO","OK"),"")</f>
        <v/>
      </c>
      <c r="G352" s="27" t="str">
        <f aca="false">IF(COUNTA('Lista de Preços'!$A341:$W341)&gt;0,IF(AND('Lista de Preços'!$A341&lt;&gt;"",COUNTIF('Lista de Preços'!$A$4:$A$503,'Lista de Preços'!$A341)&gt;1),"ERRO","OK"),"")</f>
        <v/>
      </c>
      <c r="H352" s="27" t="str">
        <f aca="false">IF(COUNTA('Lista de Preços'!$A341:$W341)&gt;0,IF(AND('Lista de Preços'!$N341&lt;&gt;"",ISNUMBER('Lista de Preços'!$N341),OR('Lista de Preços'!$N341&lt;0,'Lista de Preços'!$N341&gt;0.5)),"ERRO","OK"),"")</f>
        <v/>
      </c>
      <c r="I352" s="27" t="str">
        <f aca="false">IF(COUNTA('Lista de Preços'!$A341:$W341)&gt;0,IF(OR($C352="ERRO",$D352="ERRO",$E352="ERRO",$F352="ERRO",$G352="ERRO",$H352="ERRO"),"FALHA","OK"),"")</f>
        <v/>
      </c>
    </row>
    <row r="353" customFormat="false" ht="15" hidden="false" customHeight="false" outlineLevel="0" collapsed="false">
      <c r="A353" s="26" t="n">
        <f aca="false">'Lista de Preços'!$A342</f>
        <v>0</v>
      </c>
      <c r="B353" s="26" t="n">
        <f aca="false">'Lista de Preços'!$B342</f>
        <v>0</v>
      </c>
      <c r="C353" s="27" t="str">
        <f aca="false">IF(COUNTA('Lista de Preços'!$A342:$W342)&gt;0,IF((COUNTBLANK('Lista de Preços'!$A342)+COUNTBLANK('Lista de Preços'!$B342)+COUNTBLANK('Lista de Preços'!$C342)+COUNTBLANK('Lista de Preços'!$D342)+COUNTBLANK('Lista de Preços'!$E342)+COUNTBLANK('Lista de Preços'!$F342)+COUNTBLANK('Lista de Preços'!$L342)+COUNTBLANK('Lista de Preços'!$M342)+COUNTBLANK('Lista de Preços'!$P342)+COUNTBLANK('Lista de Preços'!$U342)+COUNTBLANK('Lista de Preços'!$V342))&gt;0,"ERRO","OK"),"")</f>
        <v/>
      </c>
      <c r="D353" s="27" t="str">
        <f aca="false">IF(COUNTA('Lista de Preços'!$A342:$W342)&gt;0,IF(OR(AND('Lista de Preços'!$L342&lt;&gt;"",NOT(ISNUMBER('Lista de Preços'!$L342))),AND('Lista de Preços'!$M342&lt;&gt;"",NOT(ISNUMBER('Lista de Preços'!$M342)))),"ERRO","OK"),"")</f>
        <v/>
      </c>
      <c r="E353" s="27" t="str">
        <f aca="false">IF(COUNTA('Lista de Preços'!$A342:$W342)&gt;0,IF(AND(ISNUMBER('Lista de Preços'!$L342),ISNUMBER('Lista de Preços'!$M342),'Lista de Preços'!$L342&gt;'Lista de Preços'!$M342),"ERRO","OK"),"")</f>
        <v/>
      </c>
      <c r="F353" s="27" t="str">
        <f aca="true">IF(COUNTA('Lista de Preços'!$A342:$W342)&gt;0,IF(AND('Lista de Preços'!$S342&lt;&gt;"",ISNUMBER('Lista de Preços'!$S342),'Lista de Preços'!$S342&lt;TODAY()),"ERRO","OK"),"")</f>
        <v/>
      </c>
      <c r="G353" s="27" t="str">
        <f aca="false">IF(COUNTA('Lista de Preços'!$A342:$W342)&gt;0,IF(AND('Lista de Preços'!$A342&lt;&gt;"",COUNTIF('Lista de Preços'!$A$4:$A$503,'Lista de Preços'!$A342)&gt;1),"ERRO","OK"),"")</f>
        <v/>
      </c>
      <c r="H353" s="27" t="str">
        <f aca="false">IF(COUNTA('Lista de Preços'!$A342:$W342)&gt;0,IF(AND('Lista de Preços'!$N342&lt;&gt;"",ISNUMBER('Lista de Preços'!$N342),OR('Lista de Preços'!$N342&lt;0,'Lista de Preços'!$N342&gt;0.5)),"ERRO","OK"),"")</f>
        <v/>
      </c>
      <c r="I353" s="27" t="str">
        <f aca="false">IF(COUNTA('Lista de Preços'!$A342:$W342)&gt;0,IF(OR($C353="ERRO",$D353="ERRO",$E353="ERRO",$F353="ERRO",$G353="ERRO",$H353="ERRO"),"FALHA","OK"),"")</f>
        <v/>
      </c>
    </row>
    <row r="354" customFormat="false" ht="15" hidden="false" customHeight="false" outlineLevel="0" collapsed="false">
      <c r="A354" s="26" t="n">
        <f aca="false">'Lista de Preços'!$A343</f>
        <v>0</v>
      </c>
      <c r="B354" s="26" t="n">
        <f aca="false">'Lista de Preços'!$B343</f>
        <v>0</v>
      </c>
      <c r="C354" s="27" t="str">
        <f aca="false">IF(COUNTA('Lista de Preços'!$A343:$W343)&gt;0,IF((COUNTBLANK('Lista de Preços'!$A343)+COUNTBLANK('Lista de Preços'!$B343)+COUNTBLANK('Lista de Preços'!$C343)+COUNTBLANK('Lista de Preços'!$D343)+COUNTBLANK('Lista de Preços'!$E343)+COUNTBLANK('Lista de Preços'!$F343)+COUNTBLANK('Lista de Preços'!$L343)+COUNTBLANK('Lista de Preços'!$M343)+COUNTBLANK('Lista de Preços'!$P343)+COUNTBLANK('Lista de Preços'!$U343)+COUNTBLANK('Lista de Preços'!$V343))&gt;0,"ERRO","OK"),"")</f>
        <v/>
      </c>
      <c r="D354" s="27" t="str">
        <f aca="false">IF(COUNTA('Lista de Preços'!$A343:$W343)&gt;0,IF(OR(AND('Lista de Preços'!$L343&lt;&gt;"",NOT(ISNUMBER('Lista de Preços'!$L343))),AND('Lista de Preços'!$M343&lt;&gt;"",NOT(ISNUMBER('Lista de Preços'!$M343)))),"ERRO","OK"),"")</f>
        <v/>
      </c>
      <c r="E354" s="27" t="str">
        <f aca="false">IF(COUNTA('Lista de Preços'!$A343:$W343)&gt;0,IF(AND(ISNUMBER('Lista de Preços'!$L343),ISNUMBER('Lista de Preços'!$M343),'Lista de Preços'!$L343&gt;'Lista de Preços'!$M343),"ERRO","OK"),"")</f>
        <v/>
      </c>
      <c r="F354" s="27" t="str">
        <f aca="true">IF(COUNTA('Lista de Preços'!$A343:$W343)&gt;0,IF(AND('Lista de Preços'!$S343&lt;&gt;"",ISNUMBER('Lista de Preços'!$S343),'Lista de Preços'!$S343&lt;TODAY()),"ERRO","OK"),"")</f>
        <v/>
      </c>
      <c r="G354" s="27" t="str">
        <f aca="false">IF(COUNTA('Lista de Preços'!$A343:$W343)&gt;0,IF(AND('Lista de Preços'!$A343&lt;&gt;"",COUNTIF('Lista de Preços'!$A$4:$A$503,'Lista de Preços'!$A343)&gt;1),"ERRO","OK"),"")</f>
        <v/>
      </c>
      <c r="H354" s="27" t="str">
        <f aca="false">IF(COUNTA('Lista de Preços'!$A343:$W343)&gt;0,IF(AND('Lista de Preços'!$N343&lt;&gt;"",ISNUMBER('Lista de Preços'!$N343),OR('Lista de Preços'!$N343&lt;0,'Lista de Preços'!$N343&gt;0.5)),"ERRO","OK"),"")</f>
        <v/>
      </c>
      <c r="I354" s="27" t="str">
        <f aca="false">IF(COUNTA('Lista de Preços'!$A343:$W343)&gt;0,IF(OR($C354="ERRO",$D354="ERRO",$E354="ERRO",$F354="ERRO",$G354="ERRO",$H354="ERRO"),"FALHA","OK"),"")</f>
        <v/>
      </c>
    </row>
    <row r="355" customFormat="false" ht="15" hidden="false" customHeight="false" outlineLevel="0" collapsed="false">
      <c r="A355" s="26" t="n">
        <f aca="false">'Lista de Preços'!$A344</f>
        <v>0</v>
      </c>
      <c r="B355" s="26" t="n">
        <f aca="false">'Lista de Preços'!$B344</f>
        <v>0</v>
      </c>
      <c r="C355" s="27" t="str">
        <f aca="false">IF(COUNTA('Lista de Preços'!$A344:$W344)&gt;0,IF((COUNTBLANK('Lista de Preços'!$A344)+COUNTBLANK('Lista de Preços'!$B344)+COUNTBLANK('Lista de Preços'!$C344)+COUNTBLANK('Lista de Preços'!$D344)+COUNTBLANK('Lista de Preços'!$E344)+COUNTBLANK('Lista de Preços'!$F344)+COUNTBLANK('Lista de Preços'!$L344)+COUNTBLANK('Lista de Preços'!$M344)+COUNTBLANK('Lista de Preços'!$P344)+COUNTBLANK('Lista de Preços'!$U344)+COUNTBLANK('Lista de Preços'!$V344))&gt;0,"ERRO","OK"),"")</f>
        <v/>
      </c>
      <c r="D355" s="27" t="str">
        <f aca="false">IF(COUNTA('Lista de Preços'!$A344:$W344)&gt;0,IF(OR(AND('Lista de Preços'!$L344&lt;&gt;"",NOT(ISNUMBER('Lista de Preços'!$L344))),AND('Lista de Preços'!$M344&lt;&gt;"",NOT(ISNUMBER('Lista de Preços'!$M344)))),"ERRO","OK"),"")</f>
        <v/>
      </c>
      <c r="E355" s="27" t="str">
        <f aca="false">IF(COUNTA('Lista de Preços'!$A344:$W344)&gt;0,IF(AND(ISNUMBER('Lista de Preços'!$L344),ISNUMBER('Lista de Preços'!$M344),'Lista de Preços'!$L344&gt;'Lista de Preços'!$M344),"ERRO","OK"),"")</f>
        <v/>
      </c>
      <c r="F355" s="27" t="str">
        <f aca="true">IF(COUNTA('Lista de Preços'!$A344:$W344)&gt;0,IF(AND('Lista de Preços'!$S344&lt;&gt;"",ISNUMBER('Lista de Preços'!$S344),'Lista de Preços'!$S344&lt;TODAY()),"ERRO","OK"),"")</f>
        <v/>
      </c>
      <c r="G355" s="27" t="str">
        <f aca="false">IF(COUNTA('Lista de Preços'!$A344:$W344)&gt;0,IF(AND('Lista de Preços'!$A344&lt;&gt;"",COUNTIF('Lista de Preços'!$A$4:$A$503,'Lista de Preços'!$A344)&gt;1),"ERRO","OK"),"")</f>
        <v/>
      </c>
      <c r="H355" s="27" t="str">
        <f aca="false">IF(COUNTA('Lista de Preços'!$A344:$W344)&gt;0,IF(AND('Lista de Preços'!$N344&lt;&gt;"",ISNUMBER('Lista de Preços'!$N344),OR('Lista de Preços'!$N344&lt;0,'Lista de Preços'!$N344&gt;0.5)),"ERRO","OK"),"")</f>
        <v/>
      </c>
      <c r="I355" s="27" t="str">
        <f aca="false">IF(COUNTA('Lista de Preços'!$A344:$W344)&gt;0,IF(OR($C355="ERRO",$D355="ERRO",$E355="ERRO",$F355="ERRO",$G355="ERRO",$H355="ERRO"),"FALHA","OK"),"")</f>
        <v/>
      </c>
    </row>
    <row r="356" customFormat="false" ht="15" hidden="false" customHeight="false" outlineLevel="0" collapsed="false">
      <c r="A356" s="26" t="n">
        <f aca="false">'Lista de Preços'!$A345</f>
        <v>0</v>
      </c>
      <c r="B356" s="26" t="n">
        <f aca="false">'Lista de Preços'!$B345</f>
        <v>0</v>
      </c>
      <c r="C356" s="27" t="str">
        <f aca="false">IF(COUNTA('Lista de Preços'!$A345:$W345)&gt;0,IF((COUNTBLANK('Lista de Preços'!$A345)+COUNTBLANK('Lista de Preços'!$B345)+COUNTBLANK('Lista de Preços'!$C345)+COUNTBLANK('Lista de Preços'!$D345)+COUNTBLANK('Lista de Preços'!$E345)+COUNTBLANK('Lista de Preços'!$F345)+COUNTBLANK('Lista de Preços'!$L345)+COUNTBLANK('Lista de Preços'!$M345)+COUNTBLANK('Lista de Preços'!$P345)+COUNTBLANK('Lista de Preços'!$U345)+COUNTBLANK('Lista de Preços'!$V345))&gt;0,"ERRO","OK"),"")</f>
        <v/>
      </c>
      <c r="D356" s="27" t="str">
        <f aca="false">IF(COUNTA('Lista de Preços'!$A345:$W345)&gt;0,IF(OR(AND('Lista de Preços'!$L345&lt;&gt;"",NOT(ISNUMBER('Lista de Preços'!$L345))),AND('Lista de Preços'!$M345&lt;&gt;"",NOT(ISNUMBER('Lista de Preços'!$M345)))),"ERRO","OK"),"")</f>
        <v/>
      </c>
      <c r="E356" s="27" t="str">
        <f aca="false">IF(COUNTA('Lista de Preços'!$A345:$W345)&gt;0,IF(AND(ISNUMBER('Lista de Preços'!$L345),ISNUMBER('Lista de Preços'!$M345),'Lista de Preços'!$L345&gt;'Lista de Preços'!$M345),"ERRO","OK"),"")</f>
        <v/>
      </c>
      <c r="F356" s="27" t="str">
        <f aca="true">IF(COUNTA('Lista de Preços'!$A345:$W345)&gt;0,IF(AND('Lista de Preços'!$S345&lt;&gt;"",ISNUMBER('Lista de Preços'!$S345),'Lista de Preços'!$S345&lt;TODAY()),"ERRO","OK"),"")</f>
        <v/>
      </c>
      <c r="G356" s="27" t="str">
        <f aca="false">IF(COUNTA('Lista de Preços'!$A345:$W345)&gt;0,IF(AND('Lista de Preços'!$A345&lt;&gt;"",COUNTIF('Lista de Preços'!$A$4:$A$503,'Lista de Preços'!$A345)&gt;1),"ERRO","OK"),"")</f>
        <v/>
      </c>
      <c r="H356" s="27" t="str">
        <f aca="false">IF(COUNTA('Lista de Preços'!$A345:$W345)&gt;0,IF(AND('Lista de Preços'!$N345&lt;&gt;"",ISNUMBER('Lista de Preços'!$N345),OR('Lista de Preços'!$N345&lt;0,'Lista de Preços'!$N345&gt;0.5)),"ERRO","OK"),"")</f>
        <v/>
      </c>
      <c r="I356" s="27" t="str">
        <f aca="false">IF(COUNTA('Lista de Preços'!$A345:$W345)&gt;0,IF(OR($C356="ERRO",$D356="ERRO",$E356="ERRO",$F356="ERRO",$G356="ERRO",$H356="ERRO"),"FALHA","OK"),"")</f>
        <v/>
      </c>
    </row>
    <row r="357" customFormat="false" ht="15" hidden="false" customHeight="false" outlineLevel="0" collapsed="false">
      <c r="A357" s="26" t="n">
        <f aca="false">'Lista de Preços'!$A346</f>
        <v>0</v>
      </c>
      <c r="B357" s="26" t="n">
        <f aca="false">'Lista de Preços'!$B346</f>
        <v>0</v>
      </c>
      <c r="C357" s="27" t="str">
        <f aca="false">IF(COUNTA('Lista de Preços'!$A346:$W346)&gt;0,IF((COUNTBLANK('Lista de Preços'!$A346)+COUNTBLANK('Lista de Preços'!$B346)+COUNTBLANK('Lista de Preços'!$C346)+COUNTBLANK('Lista de Preços'!$D346)+COUNTBLANK('Lista de Preços'!$E346)+COUNTBLANK('Lista de Preços'!$F346)+COUNTBLANK('Lista de Preços'!$L346)+COUNTBLANK('Lista de Preços'!$M346)+COUNTBLANK('Lista de Preços'!$P346)+COUNTBLANK('Lista de Preços'!$U346)+COUNTBLANK('Lista de Preços'!$V346))&gt;0,"ERRO","OK"),"")</f>
        <v/>
      </c>
      <c r="D357" s="27" t="str">
        <f aca="false">IF(COUNTA('Lista de Preços'!$A346:$W346)&gt;0,IF(OR(AND('Lista de Preços'!$L346&lt;&gt;"",NOT(ISNUMBER('Lista de Preços'!$L346))),AND('Lista de Preços'!$M346&lt;&gt;"",NOT(ISNUMBER('Lista de Preços'!$M346)))),"ERRO","OK"),"")</f>
        <v/>
      </c>
      <c r="E357" s="27" t="str">
        <f aca="false">IF(COUNTA('Lista de Preços'!$A346:$W346)&gt;0,IF(AND(ISNUMBER('Lista de Preços'!$L346),ISNUMBER('Lista de Preços'!$M346),'Lista de Preços'!$L346&gt;'Lista de Preços'!$M346),"ERRO","OK"),"")</f>
        <v/>
      </c>
      <c r="F357" s="27" t="str">
        <f aca="true">IF(COUNTA('Lista de Preços'!$A346:$W346)&gt;0,IF(AND('Lista de Preços'!$S346&lt;&gt;"",ISNUMBER('Lista de Preços'!$S346),'Lista de Preços'!$S346&lt;TODAY()),"ERRO","OK"),"")</f>
        <v/>
      </c>
      <c r="G357" s="27" t="str">
        <f aca="false">IF(COUNTA('Lista de Preços'!$A346:$W346)&gt;0,IF(AND('Lista de Preços'!$A346&lt;&gt;"",COUNTIF('Lista de Preços'!$A$4:$A$503,'Lista de Preços'!$A346)&gt;1),"ERRO","OK"),"")</f>
        <v/>
      </c>
      <c r="H357" s="27" t="str">
        <f aca="false">IF(COUNTA('Lista de Preços'!$A346:$W346)&gt;0,IF(AND('Lista de Preços'!$N346&lt;&gt;"",ISNUMBER('Lista de Preços'!$N346),OR('Lista de Preços'!$N346&lt;0,'Lista de Preços'!$N346&gt;0.5)),"ERRO","OK"),"")</f>
        <v/>
      </c>
      <c r="I357" s="27" t="str">
        <f aca="false">IF(COUNTA('Lista de Preços'!$A346:$W346)&gt;0,IF(OR($C357="ERRO",$D357="ERRO",$E357="ERRO",$F357="ERRO",$G357="ERRO",$H357="ERRO"),"FALHA","OK"),"")</f>
        <v/>
      </c>
    </row>
    <row r="358" customFormat="false" ht="15" hidden="false" customHeight="false" outlineLevel="0" collapsed="false">
      <c r="A358" s="26" t="n">
        <f aca="false">'Lista de Preços'!$A347</f>
        <v>0</v>
      </c>
      <c r="B358" s="26" t="n">
        <f aca="false">'Lista de Preços'!$B347</f>
        <v>0</v>
      </c>
      <c r="C358" s="27" t="str">
        <f aca="false">IF(COUNTA('Lista de Preços'!$A347:$W347)&gt;0,IF((COUNTBLANK('Lista de Preços'!$A347)+COUNTBLANK('Lista de Preços'!$B347)+COUNTBLANK('Lista de Preços'!$C347)+COUNTBLANK('Lista de Preços'!$D347)+COUNTBLANK('Lista de Preços'!$E347)+COUNTBLANK('Lista de Preços'!$F347)+COUNTBLANK('Lista de Preços'!$L347)+COUNTBLANK('Lista de Preços'!$M347)+COUNTBLANK('Lista de Preços'!$P347)+COUNTBLANK('Lista de Preços'!$U347)+COUNTBLANK('Lista de Preços'!$V347))&gt;0,"ERRO","OK"),"")</f>
        <v/>
      </c>
      <c r="D358" s="27" t="str">
        <f aca="false">IF(COUNTA('Lista de Preços'!$A347:$W347)&gt;0,IF(OR(AND('Lista de Preços'!$L347&lt;&gt;"",NOT(ISNUMBER('Lista de Preços'!$L347))),AND('Lista de Preços'!$M347&lt;&gt;"",NOT(ISNUMBER('Lista de Preços'!$M347)))),"ERRO","OK"),"")</f>
        <v/>
      </c>
      <c r="E358" s="27" t="str">
        <f aca="false">IF(COUNTA('Lista de Preços'!$A347:$W347)&gt;0,IF(AND(ISNUMBER('Lista de Preços'!$L347),ISNUMBER('Lista de Preços'!$M347),'Lista de Preços'!$L347&gt;'Lista de Preços'!$M347),"ERRO","OK"),"")</f>
        <v/>
      </c>
      <c r="F358" s="27" t="str">
        <f aca="true">IF(COUNTA('Lista de Preços'!$A347:$W347)&gt;0,IF(AND('Lista de Preços'!$S347&lt;&gt;"",ISNUMBER('Lista de Preços'!$S347),'Lista de Preços'!$S347&lt;TODAY()),"ERRO","OK"),"")</f>
        <v/>
      </c>
      <c r="G358" s="27" t="str">
        <f aca="false">IF(COUNTA('Lista de Preços'!$A347:$W347)&gt;0,IF(AND('Lista de Preços'!$A347&lt;&gt;"",COUNTIF('Lista de Preços'!$A$4:$A$503,'Lista de Preços'!$A347)&gt;1),"ERRO","OK"),"")</f>
        <v/>
      </c>
      <c r="H358" s="27" t="str">
        <f aca="false">IF(COUNTA('Lista de Preços'!$A347:$W347)&gt;0,IF(AND('Lista de Preços'!$N347&lt;&gt;"",ISNUMBER('Lista de Preços'!$N347),OR('Lista de Preços'!$N347&lt;0,'Lista de Preços'!$N347&gt;0.5)),"ERRO","OK"),"")</f>
        <v/>
      </c>
      <c r="I358" s="27" t="str">
        <f aca="false">IF(COUNTA('Lista de Preços'!$A347:$W347)&gt;0,IF(OR($C358="ERRO",$D358="ERRO",$E358="ERRO",$F358="ERRO",$G358="ERRO",$H358="ERRO"),"FALHA","OK"),"")</f>
        <v/>
      </c>
    </row>
    <row r="359" customFormat="false" ht="15" hidden="false" customHeight="false" outlineLevel="0" collapsed="false">
      <c r="A359" s="26" t="n">
        <f aca="false">'Lista de Preços'!$A348</f>
        <v>0</v>
      </c>
      <c r="B359" s="26" t="n">
        <f aca="false">'Lista de Preços'!$B348</f>
        <v>0</v>
      </c>
      <c r="C359" s="27" t="str">
        <f aca="false">IF(COUNTA('Lista de Preços'!$A348:$W348)&gt;0,IF((COUNTBLANK('Lista de Preços'!$A348)+COUNTBLANK('Lista de Preços'!$B348)+COUNTBLANK('Lista de Preços'!$C348)+COUNTBLANK('Lista de Preços'!$D348)+COUNTBLANK('Lista de Preços'!$E348)+COUNTBLANK('Lista de Preços'!$F348)+COUNTBLANK('Lista de Preços'!$L348)+COUNTBLANK('Lista de Preços'!$M348)+COUNTBLANK('Lista de Preços'!$P348)+COUNTBLANK('Lista de Preços'!$U348)+COUNTBLANK('Lista de Preços'!$V348))&gt;0,"ERRO","OK"),"")</f>
        <v/>
      </c>
      <c r="D359" s="27" t="str">
        <f aca="false">IF(COUNTA('Lista de Preços'!$A348:$W348)&gt;0,IF(OR(AND('Lista de Preços'!$L348&lt;&gt;"",NOT(ISNUMBER('Lista de Preços'!$L348))),AND('Lista de Preços'!$M348&lt;&gt;"",NOT(ISNUMBER('Lista de Preços'!$M348)))),"ERRO","OK"),"")</f>
        <v/>
      </c>
      <c r="E359" s="27" t="str">
        <f aca="false">IF(COUNTA('Lista de Preços'!$A348:$W348)&gt;0,IF(AND(ISNUMBER('Lista de Preços'!$L348),ISNUMBER('Lista de Preços'!$M348),'Lista de Preços'!$L348&gt;'Lista de Preços'!$M348),"ERRO","OK"),"")</f>
        <v/>
      </c>
      <c r="F359" s="27" t="str">
        <f aca="true">IF(COUNTA('Lista de Preços'!$A348:$W348)&gt;0,IF(AND('Lista de Preços'!$S348&lt;&gt;"",ISNUMBER('Lista de Preços'!$S348),'Lista de Preços'!$S348&lt;TODAY()),"ERRO","OK"),"")</f>
        <v/>
      </c>
      <c r="G359" s="27" t="str">
        <f aca="false">IF(COUNTA('Lista de Preços'!$A348:$W348)&gt;0,IF(AND('Lista de Preços'!$A348&lt;&gt;"",COUNTIF('Lista de Preços'!$A$4:$A$503,'Lista de Preços'!$A348)&gt;1),"ERRO","OK"),"")</f>
        <v/>
      </c>
      <c r="H359" s="27" t="str">
        <f aca="false">IF(COUNTA('Lista de Preços'!$A348:$W348)&gt;0,IF(AND('Lista de Preços'!$N348&lt;&gt;"",ISNUMBER('Lista de Preços'!$N348),OR('Lista de Preços'!$N348&lt;0,'Lista de Preços'!$N348&gt;0.5)),"ERRO","OK"),"")</f>
        <v/>
      </c>
      <c r="I359" s="27" t="str">
        <f aca="false">IF(COUNTA('Lista de Preços'!$A348:$W348)&gt;0,IF(OR($C359="ERRO",$D359="ERRO",$E359="ERRO",$F359="ERRO",$G359="ERRO",$H359="ERRO"),"FALHA","OK"),"")</f>
        <v/>
      </c>
    </row>
    <row r="360" customFormat="false" ht="15" hidden="false" customHeight="false" outlineLevel="0" collapsed="false">
      <c r="A360" s="26" t="n">
        <f aca="false">'Lista de Preços'!$A349</f>
        <v>0</v>
      </c>
      <c r="B360" s="26" t="n">
        <f aca="false">'Lista de Preços'!$B349</f>
        <v>0</v>
      </c>
      <c r="C360" s="27" t="str">
        <f aca="false">IF(COUNTA('Lista de Preços'!$A349:$W349)&gt;0,IF((COUNTBLANK('Lista de Preços'!$A349)+COUNTBLANK('Lista de Preços'!$B349)+COUNTBLANK('Lista de Preços'!$C349)+COUNTBLANK('Lista de Preços'!$D349)+COUNTBLANK('Lista de Preços'!$E349)+COUNTBLANK('Lista de Preços'!$F349)+COUNTBLANK('Lista de Preços'!$L349)+COUNTBLANK('Lista de Preços'!$M349)+COUNTBLANK('Lista de Preços'!$P349)+COUNTBLANK('Lista de Preços'!$U349)+COUNTBLANK('Lista de Preços'!$V349))&gt;0,"ERRO","OK"),"")</f>
        <v/>
      </c>
      <c r="D360" s="27" t="str">
        <f aca="false">IF(COUNTA('Lista de Preços'!$A349:$W349)&gt;0,IF(OR(AND('Lista de Preços'!$L349&lt;&gt;"",NOT(ISNUMBER('Lista de Preços'!$L349))),AND('Lista de Preços'!$M349&lt;&gt;"",NOT(ISNUMBER('Lista de Preços'!$M349)))),"ERRO","OK"),"")</f>
        <v/>
      </c>
      <c r="E360" s="27" t="str">
        <f aca="false">IF(COUNTA('Lista de Preços'!$A349:$W349)&gt;0,IF(AND(ISNUMBER('Lista de Preços'!$L349),ISNUMBER('Lista de Preços'!$M349),'Lista de Preços'!$L349&gt;'Lista de Preços'!$M349),"ERRO","OK"),"")</f>
        <v/>
      </c>
      <c r="F360" s="27" t="str">
        <f aca="true">IF(COUNTA('Lista de Preços'!$A349:$W349)&gt;0,IF(AND('Lista de Preços'!$S349&lt;&gt;"",ISNUMBER('Lista de Preços'!$S349),'Lista de Preços'!$S349&lt;TODAY()),"ERRO","OK"),"")</f>
        <v/>
      </c>
      <c r="G360" s="27" t="str">
        <f aca="false">IF(COUNTA('Lista de Preços'!$A349:$W349)&gt;0,IF(AND('Lista de Preços'!$A349&lt;&gt;"",COUNTIF('Lista de Preços'!$A$4:$A$503,'Lista de Preços'!$A349)&gt;1),"ERRO","OK"),"")</f>
        <v/>
      </c>
      <c r="H360" s="27" t="str">
        <f aca="false">IF(COUNTA('Lista de Preços'!$A349:$W349)&gt;0,IF(AND('Lista de Preços'!$N349&lt;&gt;"",ISNUMBER('Lista de Preços'!$N349),OR('Lista de Preços'!$N349&lt;0,'Lista de Preços'!$N349&gt;0.5)),"ERRO","OK"),"")</f>
        <v/>
      </c>
      <c r="I360" s="27" t="str">
        <f aca="false">IF(COUNTA('Lista de Preços'!$A349:$W349)&gt;0,IF(OR($C360="ERRO",$D360="ERRO",$E360="ERRO",$F360="ERRO",$G360="ERRO",$H360="ERRO"),"FALHA","OK"),"")</f>
        <v/>
      </c>
    </row>
    <row r="361" customFormat="false" ht="15" hidden="false" customHeight="false" outlineLevel="0" collapsed="false">
      <c r="A361" s="26" t="n">
        <f aca="false">'Lista de Preços'!$A350</f>
        <v>0</v>
      </c>
      <c r="B361" s="26" t="n">
        <f aca="false">'Lista de Preços'!$B350</f>
        <v>0</v>
      </c>
      <c r="C361" s="27" t="str">
        <f aca="false">IF(COUNTA('Lista de Preços'!$A350:$W350)&gt;0,IF((COUNTBLANK('Lista de Preços'!$A350)+COUNTBLANK('Lista de Preços'!$B350)+COUNTBLANK('Lista de Preços'!$C350)+COUNTBLANK('Lista de Preços'!$D350)+COUNTBLANK('Lista de Preços'!$E350)+COUNTBLANK('Lista de Preços'!$F350)+COUNTBLANK('Lista de Preços'!$L350)+COUNTBLANK('Lista de Preços'!$M350)+COUNTBLANK('Lista de Preços'!$P350)+COUNTBLANK('Lista de Preços'!$U350)+COUNTBLANK('Lista de Preços'!$V350))&gt;0,"ERRO","OK"),"")</f>
        <v/>
      </c>
      <c r="D361" s="27" t="str">
        <f aca="false">IF(COUNTA('Lista de Preços'!$A350:$W350)&gt;0,IF(OR(AND('Lista de Preços'!$L350&lt;&gt;"",NOT(ISNUMBER('Lista de Preços'!$L350))),AND('Lista de Preços'!$M350&lt;&gt;"",NOT(ISNUMBER('Lista de Preços'!$M350)))),"ERRO","OK"),"")</f>
        <v/>
      </c>
      <c r="E361" s="27" t="str">
        <f aca="false">IF(COUNTA('Lista de Preços'!$A350:$W350)&gt;0,IF(AND(ISNUMBER('Lista de Preços'!$L350),ISNUMBER('Lista de Preços'!$M350),'Lista de Preços'!$L350&gt;'Lista de Preços'!$M350),"ERRO","OK"),"")</f>
        <v/>
      </c>
      <c r="F361" s="27" t="str">
        <f aca="true">IF(COUNTA('Lista de Preços'!$A350:$W350)&gt;0,IF(AND('Lista de Preços'!$S350&lt;&gt;"",ISNUMBER('Lista de Preços'!$S350),'Lista de Preços'!$S350&lt;TODAY()),"ERRO","OK"),"")</f>
        <v/>
      </c>
      <c r="G361" s="27" t="str">
        <f aca="false">IF(COUNTA('Lista de Preços'!$A350:$W350)&gt;0,IF(AND('Lista de Preços'!$A350&lt;&gt;"",COUNTIF('Lista de Preços'!$A$4:$A$503,'Lista de Preços'!$A350)&gt;1),"ERRO","OK"),"")</f>
        <v/>
      </c>
      <c r="H361" s="27" t="str">
        <f aca="false">IF(COUNTA('Lista de Preços'!$A350:$W350)&gt;0,IF(AND('Lista de Preços'!$N350&lt;&gt;"",ISNUMBER('Lista de Preços'!$N350),OR('Lista de Preços'!$N350&lt;0,'Lista de Preços'!$N350&gt;0.5)),"ERRO","OK"),"")</f>
        <v/>
      </c>
      <c r="I361" s="27" t="str">
        <f aca="false">IF(COUNTA('Lista de Preços'!$A350:$W350)&gt;0,IF(OR($C361="ERRO",$D361="ERRO",$E361="ERRO",$F361="ERRO",$G361="ERRO",$H361="ERRO"),"FALHA","OK"),"")</f>
        <v/>
      </c>
    </row>
    <row r="362" customFormat="false" ht="15" hidden="false" customHeight="false" outlineLevel="0" collapsed="false">
      <c r="A362" s="26" t="n">
        <f aca="false">'Lista de Preços'!$A351</f>
        <v>0</v>
      </c>
      <c r="B362" s="26" t="n">
        <f aca="false">'Lista de Preços'!$B351</f>
        <v>0</v>
      </c>
      <c r="C362" s="27" t="str">
        <f aca="false">IF(COUNTA('Lista de Preços'!$A351:$W351)&gt;0,IF((COUNTBLANK('Lista de Preços'!$A351)+COUNTBLANK('Lista de Preços'!$B351)+COUNTBLANK('Lista de Preços'!$C351)+COUNTBLANK('Lista de Preços'!$D351)+COUNTBLANK('Lista de Preços'!$E351)+COUNTBLANK('Lista de Preços'!$F351)+COUNTBLANK('Lista de Preços'!$L351)+COUNTBLANK('Lista de Preços'!$M351)+COUNTBLANK('Lista de Preços'!$P351)+COUNTBLANK('Lista de Preços'!$U351)+COUNTBLANK('Lista de Preços'!$V351))&gt;0,"ERRO","OK"),"")</f>
        <v/>
      </c>
      <c r="D362" s="27" t="str">
        <f aca="false">IF(COUNTA('Lista de Preços'!$A351:$W351)&gt;0,IF(OR(AND('Lista de Preços'!$L351&lt;&gt;"",NOT(ISNUMBER('Lista de Preços'!$L351))),AND('Lista de Preços'!$M351&lt;&gt;"",NOT(ISNUMBER('Lista de Preços'!$M351)))),"ERRO","OK"),"")</f>
        <v/>
      </c>
      <c r="E362" s="27" t="str">
        <f aca="false">IF(COUNTA('Lista de Preços'!$A351:$W351)&gt;0,IF(AND(ISNUMBER('Lista de Preços'!$L351),ISNUMBER('Lista de Preços'!$M351),'Lista de Preços'!$L351&gt;'Lista de Preços'!$M351),"ERRO","OK"),"")</f>
        <v/>
      </c>
      <c r="F362" s="27" t="str">
        <f aca="true">IF(COUNTA('Lista de Preços'!$A351:$W351)&gt;0,IF(AND('Lista de Preços'!$S351&lt;&gt;"",ISNUMBER('Lista de Preços'!$S351),'Lista de Preços'!$S351&lt;TODAY()),"ERRO","OK"),"")</f>
        <v/>
      </c>
      <c r="G362" s="27" t="str">
        <f aca="false">IF(COUNTA('Lista de Preços'!$A351:$W351)&gt;0,IF(AND('Lista de Preços'!$A351&lt;&gt;"",COUNTIF('Lista de Preços'!$A$4:$A$503,'Lista de Preços'!$A351)&gt;1),"ERRO","OK"),"")</f>
        <v/>
      </c>
      <c r="H362" s="27" t="str">
        <f aca="false">IF(COUNTA('Lista de Preços'!$A351:$W351)&gt;0,IF(AND('Lista de Preços'!$N351&lt;&gt;"",ISNUMBER('Lista de Preços'!$N351),OR('Lista de Preços'!$N351&lt;0,'Lista de Preços'!$N351&gt;0.5)),"ERRO","OK"),"")</f>
        <v/>
      </c>
      <c r="I362" s="27" t="str">
        <f aca="false">IF(COUNTA('Lista de Preços'!$A351:$W351)&gt;0,IF(OR($C362="ERRO",$D362="ERRO",$E362="ERRO",$F362="ERRO",$G362="ERRO",$H362="ERRO"),"FALHA","OK"),"")</f>
        <v/>
      </c>
    </row>
    <row r="363" customFormat="false" ht="15" hidden="false" customHeight="false" outlineLevel="0" collapsed="false">
      <c r="A363" s="26" t="n">
        <f aca="false">'Lista de Preços'!$A352</f>
        <v>0</v>
      </c>
      <c r="B363" s="26" t="n">
        <f aca="false">'Lista de Preços'!$B352</f>
        <v>0</v>
      </c>
      <c r="C363" s="27" t="str">
        <f aca="false">IF(COUNTA('Lista de Preços'!$A352:$W352)&gt;0,IF((COUNTBLANK('Lista de Preços'!$A352)+COUNTBLANK('Lista de Preços'!$B352)+COUNTBLANK('Lista de Preços'!$C352)+COUNTBLANK('Lista de Preços'!$D352)+COUNTBLANK('Lista de Preços'!$E352)+COUNTBLANK('Lista de Preços'!$F352)+COUNTBLANK('Lista de Preços'!$L352)+COUNTBLANK('Lista de Preços'!$M352)+COUNTBLANK('Lista de Preços'!$P352)+COUNTBLANK('Lista de Preços'!$U352)+COUNTBLANK('Lista de Preços'!$V352))&gt;0,"ERRO","OK"),"")</f>
        <v/>
      </c>
      <c r="D363" s="27" t="str">
        <f aca="false">IF(COUNTA('Lista de Preços'!$A352:$W352)&gt;0,IF(OR(AND('Lista de Preços'!$L352&lt;&gt;"",NOT(ISNUMBER('Lista de Preços'!$L352))),AND('Lista de Preços'!$M352&lt;&gt;"",NOT(ISNUMBER('Lista de Preços'!$M352)))),"ERRO","OK"),"")</f>
        <v/>
      </c>
      <c r="E363" s="27" t="str">
        <f aca="false">IF(COUNTA('Lista de Preços'!$A352:$W352)&gt;0,IF(AND(ISNUMBER('Lista de Preços'!$L352),ISNUMBER('Lista de Preços'!$M352),'Lista de Preços'!$L352&gt;'Lista de Preços'!$M352),"ERRO","OK"),"")</f>
        <v/>
      </c>
      <c r="F363" s="27" t="str">
        <f aca="true">IF(COUNTA('Lista de Preços'!$A352:$W352)&gt;0,IF(AND('Lista de Preços'!$S352&lt;&gt;"",ISNUMBER('Lista de Preços'!$S352),'Lista de Preços'!$S352&lt;TODAY()),"ERRO","OK"),"")</f>
        <v/>
      </c>
      <c r="G363" s="27" t="str">
        <f aca="false">IF(COUNTA('Lista de Preços'!$A352:$W352)&gt;0,IF(AND('Lista de Preços'!$A352&lt;&gt;"",COUNTIF('Lista de Preços'!$A$4:$A$503,'Lista de Preços'!$A352)&gt;1),"ERRO","OK"),"")</f>
        <v/>
      </c>
      <c r="H363" s="27" t="str">
        <f aca="false">IF(COUNTA('Lista de Preços'!$A352:$W352)&gt;0,IF(AND('Lista de Preços'!$N352&lt;&gt;"",ISNUMBER('Lista de Preços'!$N352),OR('Lista de Preços'!$N352&lt;0,'Lista de Preços'!$N352&gt;0.5)),"ERRO","OK"),"")</f>
        <v/>
      </c>
      <c r="I363" s="27" t="str">
        <f aca="false">IF(COUNTA('Lista de Preços'!$A352:$W352)&gt;0,IF(OR($C363="ERRO",$D363="ERRO",$E363="ERRO",$F363="ERRO",$G363="ERRO",$H363="ERRO"),"FALHA","OK"),"")</f>
        <v/>
      </c>
    </row>
    <row r="364" customFormat="false" ht="15" hidden="false" customHeight="false" outlineLevel="0" collapsed="false">
      <c r="A364" s="26" t="n">
        <f aca="false">'Lista de Preços'!$A353</f>
        <v>0</v>
      </c>
      <c r="B364" s="26" t="n">
        <f aca="false">'Lista de Preços'!$B353</f>
        <v>0</v>
      </c>
      <c r="C364" s="27" t="str">
        <f aca="false">IF(COUNTA('Lista de Preços'!$A353:$W353)&gt;0,IF((COUNTBLANK('Lista de Preços'!$A353)+COUNTBLANK('Lista de Preços'!$B353)+COUNTBLANK('Lista de Preços'!$C353)+COUNTBLANK('Lista de Preços'!$D353)+COUNTBLANK('Lista de Preços'!$E353)+COUNTBLANK('Lista de Preços'!$F353)+COUNTBLANK('Lista de Preços'!$L353)+COUNTBLANK('Lista de Preços'!$M353)+COUNTBLANK('Lista de Preços'!$P353)+COUNTBLANK('Lista de Preços'!$U353)+COUNTBLANK('Lista de Preços'!$V353))&gt;0,"ERRO","OK"),"")</f>
        <v/>
      </c>
      <c r="D364" s="27" t="str">
        <f aca="false">IF(COUNTA('Lista de Preços'!$A353:$W353)&gt;0,IF(OR(AND('Lista de Preços'!$L353&lt;&gt;"",NOT(ISNUMBER('Lista de Preços'!$L353))),AND('Lista de Preços'!$M353&lt;&gt;"",NOT(ISNUMBER('Lista de Preços'!$M353)))),"ERRO","OK"),"")</f>
        <v/>
      </c>
      <c r="E364" s="27" t="str">
        <f aca="false">IF(COUNTA('Lista de Preços'!$A353:$W353)&gt;0,IF(AND(ISNUMBER('Lista de Preços'!$L353),ISNUMBER('Lista de Preços'!$M353),'Lista de Preços'!$L353&gt;'Lista de Preços'!$M353),"ERRO","OK"),"")</f>
        <v/>
      </c>
      <c r="F364" s="27" t="str">
        <f aca="true">IF(COUNTA('Lista de Preços'!$A353:$W353)&gt;0,IF(AND('Lista de Preços'!$S353&lt;&gt;"",ISNUMBER('Lista de Preços'!$S353),'Lista de Preços'!$S353&lt;TODAY()),"ERRO","OK"),"")</f>
        <v/>
      </c>
      <c r="G364" s="27" t="str">
        <f aca="false">IF(COUNTA('Lista de Preços'!$A353:$W353)&gt;0,IF(AND('Lista de Preços'!$A353&lt;&gt;"",COUNTIF('Lista de Preços'!$A$4:$A$503,'Lista de Preços'!$A353)&gt;1),"ERRO","OK"),"")</f>
        <v/>
      </c>
      <c r="H364" s="27" t="str">
        <f aca="false">IF(COUNTA('Lista de Preços'!$A353:$W353)&gt;0,IF(AND('Lista de Preços'!$N353&lt;&gt;"",ISNUMBER('Lista de Preços'!$N353),OR('Lista de Preços'!$N353&lt;0,'Lista de Preços'!$N353&gt;0.5)),"ERRO","OK"),"")</f>
        <v/>
      </c>
      <c r="I364" s="27" t="str">
        <f aca="false">IF(COUNTA('Lista de Preços'!$A353:$W353)&gt;0,IF(OR($C364="ERRO",$D364="ERRO",$E364="ERRO",$F364="ERRO",$G364="ERRO",$H364="ERRO"),"FALHA","OK"),"")</f>
        <v/>
      </c>
    </row>
    <row r="365" customFormat="false" ht="15" hidden="false" customHeight="false" outlineLevel="0" collapsed="false">
      <c r="A365" s="26" t="n">
        <f aca="false">'Lista de Preços'!$A354</f>
        <v>0</v>
      </c>
      <c r="B365" s="26" t="n">
        <f aca="false">'Lista de Preços'!$B354</f>
        <v>0</v>
      </c>
      <c r="C365" s="27" t="str">
        <f aca="false">IF(COUNTA('Lista de Preços'!$A354:$W354)&gt;0,IF((COUNTBLANK('Lista de Preços'!$A354)+COUNTBLANK('Lista de Preços'!$B354)+COUNTBLANK('Lista de Preços'!$C354)+COUNTBLANK('Lista de Preços'!$D354)+COUNTBLANK('Lista de Preços'!$E354)+COUNTBLANK('Lista de Preços'!$F354)+COUNTBLANK('Lista de Preços'!$L354)+COUNTBLANK('Lista de Preços'!$M354)+COUNTBLANK('Lista de Preços'!$P354)+COUNTBLANK('Lista de Preços'!$U354)+COUNTBLANK('Lista de Preços'!$V354))&gt;0,"ERRO","OK"),"")</f>
        <v/>
      </c>
      <c r="D365" s="27" t="str">
        <f aca="false">IF(COUNTA('Lista de Preços'!$A354:$W354)&gt;0,IF(OR(AND('Lista de Preços'!$L354&lt;&gt;"",NOT(ISNUMBER('Lista de Preços'!$L354))),AND('Lista de Preços'!$M354&lt;&gt;"",NOT(ISNUMBER('Lista de Preços'!$M354)))),"ERRO","OK"),"")</f>
        <v/>
      </c>
      <c r="E365" s="27" t="str">
        <f aca="false">IF(COUNTA('Lista de Preços'!$A354:$W354)&gt;0,IF(AND(ISNUMBER('Lista de Preços'!$L354),ISNUMBER('Lista de Preços'!$M354),'Lista de Preços'!$L354&gt;'Lista de Preços'!$M354),"ERRO","OK"),"")</f>
        <v/>
      </c>
      <c r="F365" s="27" t="str">
        <f aca="true">IF(COUNTA('Lista de Preços'!$A354:$W354)&gt;0,IF(AND('Lista de Preços'!$S354&lt;&gt;"",ISNUMBER('Lista de Preços'!$S354),'Lista de Preços'!$S354&lt;TODAY()),"ERRO","OK"),"")</f>
        <v/>
      </c>
      <c r="G365" s="27" t="str">
        <f aca="false">IF(COUNTA('Lista de Preços'!$A354:$W354)&gt;0,IF(AND('Lista de Preços'!$A354&lt;&gt;"",COUNTIF('Lista de Preços'!$A$4:$A$503,'Lista de Preços'!$A354)&gt;1),"ERRO","OK"),"")</f>
        <v/>
      </c>
      <c r="H365" s="27" t="str">
        <f aca="false">IF(COUNTA('Lista de Preços'!$A354:$W354)&gt;0,IF(AND('Lista de Preços'!$N354&lt;&gt;"",ISNUMBER('Lista de Preços'!$N354),OR('Lista de Preços'!$N354&lt;0,'Lista de Preços'!$N354&gt;0.5)),"ERRO","OK"),"")</f>
        <v/>
      </c>
      <c r="I365" s="27" t="str">
        <f aca="false">IF(COUNTA('Lista de Preços'!$A354:$W354)&gt;0,IF(OR($C365="ERRO",$D365="ERRO",$E365="ERRO",$F365="ERRO",$G365="ERRO",$H365="ERRO"),"FALHA","OK"),"")</f>
        <v/>
      </c>
    </row>
    <row r="366" customFormat="false" ht="15" hidden="false" customHeight="false" outlineLevel="0" collapsed="false">
      <c r="A366" s="26" t="n">
        <f aca="false">'Lista de Preços'!$A355</f>
        <v>0</v>
      </c>
      <c r="B366" s="26" t="n">
        <f aca="false">'Lista de Preços'!$B355</f>
        <v>0</v>
      </c>
      <c r="C366" s="27" t="str">
        <f aca="false">IF(COUNTA('Lista de Preços'!$A355:$W355)&gt;0,IF((COUNTBLANK('Lista de Preços'!$A355)+COUNTBLANK('Lista de Preços'!$B355)+COUNTBLANK('Lista de Preços'!$C355)+COUNTBLANK('Lista de Preços'!$D355)+COUNTBLANK('Lista de Preços'!$E355)+COUNTBLANK('Lista de Preços'!$F355)+COUNTBLANK('Lista de Preços'!$L355)+COUNTBLANK('Lista de Preços'!$M355)+COUNTBLANK('Lista de Preços'!$P355)+COUNTBLANK('Lista de Preços'!$U355)+COUNTBLANK('Lista de Preços'!$V355))&gt;0,"ERRO","OK"),"")</f>
        <v/>
      </c>
      <c r="D366" s="27" t="str">
        <f aca="false">IF(COUNTA('Lista de Preços'!$A355:$W355)&gt;0,IF(OR(AND('Lista de Preços'!$L355&lt;&gt;"",NOT(ISNUMBER('Lista de Preços'!$L355))),AND('Lista de Preços'!$M355&lt;&gt;"",NOT(ISNUMBER('Lista de Preços'!$M355)))),"ERRO","OK"),"")</f>
        <v/>
      </c>
      <c r="E366" s="27" t="str">
        <f aca="false">IF(COUNTA('Lista de Preços'!$A355:$W355)&gt;0,IF(AND(ISNUMBER('Lista de Preços'!$L355),ISNUMBER('Lista de Preços'!$M355),'Lista de Preços'!$L355&gt;'Lista de Preços'!$M355),"ERRO","OK"),"")</f>
        <v/>
      </c>
      <c r="F366" s="27" t="str">
        <f aca="true">IF(COUNTA('Lista de Preços'!$A355:$W355)&gt;0,IF(AND('Lista de Preços'!$S355&lt;&gt;"",ISNUMBER('Lista de Preços'!$S355),'Lista de Preços'!$S355&lt;TODAY()),"ERRO","OK"),"")</f>
        <v/>
      </c>
      <c r="G366" s="27" t="str">
        <f aca="false">IF(COUNTA('Lista de Preços'!$A355:$W355)&gt;0,IF(AND('Lista de Preços'!$A355&lt;&gt;"",COUNTIF('Lista de Preços'!$A$4:$A$503,'Lista de Preços'!$A355)&gt;1),"ERRO","OK"),"")</f>
        <v/>
      </c>
      <c r="H366" s="27" t="str">
        <f aca="false">IF(COUNTA('Lista de Preços'!$A355:$W355)&gt;0,IF(AND('Lista de Preços'!$N355&lt;&gt;"",ISNUMBER('Lista de Preços'!$N355),OR('Lista de Preços'!$N355&lt;0,'Lista de Preços'!$N355&gt;0.5)),"ERRO","OK"),"")</f>
        <v/>
      </c>
      <c r="I366" s="27" t="str">
        <f aca="false">IF(COUNTA('Lista de Preços'!$A355:$W355)&gt;0,IF(OR($C366="ERRO",$D366="ERRO",$E366="ERRO",$F366="ERRO",$G366="ERRO",$H366="ERRO"),"FALHA","OK"),"")</f>
        <v/>
      </c>
    </row>
    <row r="367" customFormat="false" ht="15" hidden="false" customHeight="false" outlineLevel="0" collapsed="false">
      <c r="A367" s="26" t="n">
        <f aca="false">'Lista de Preços'!$A356</f>
        <v>0</v>
      </c>
      <c r="B367" s="26" t="n">
        <f aca="false">'Lista de Preços'!$B356</f>
        <v>0</v>
      </c>
      <c r="C367" s="27" t="str">
        <f aca="false">IF(COUNTA('Lista de Preços'!$A356:$W356)&gt;0,IF((COUNTBLANK('Lista de Preços'!$A356)+COUNTBLANK('Lista de Preços'!$B356)+COUNTBLANK('Lista de Preços'!$C356)+COUNTBLANK('Lista de Preços'!$D356)+COUNTBLANK('Lista de Preços'!$E356)+COUNTBLANK('Lista de Preços'!$F356)+COUNTBLANK('Lista de Preços'!$L356)+COUNTBLANK('Lista de Preços'!$M356)+COUNTBLANK('Lista de Preços'!$P356)+COUNTBLANK('Lista de Preços'!$U356)+COUNTBLANK('Lista de Preços'!$V356))&gt;0,"ERRO","OK"),"")</f>
        <v/>
      </c>
      <c r="D367" s="27" t="str">
        <f aca="false">IF(COUNTA('Lista de Preços'!$A356:$W356)&gt;0,IF(OR(AND('Lista de Preços'!$L356&lt;&gt;"",NOT(ISNUMBER('Lista de Preços'!$L356))),AND('Lista de Preços'!$M356&lt;&gt;"",NOT(ISNUMBER('Lista de Preços'!$M356)))),"ERRO","OK"),"")</f>
        <v/>
      </c>
      <c r="E367" s="27" t="str">
        <f aca="false">IF(COUNTA('Lista de Preços'!$A356:$W356)&gt;0,IF(AND(ISNUMBER('Lista de Preços'!$L356),ISNUMBER('Lista de Preços'!$M356),'Lista de Preços'!$L356&gt;'Lista de Preços'!$M356),"ERRO","OK"),"")</f>
        <v/>
      </c>
      <c r="F367" s="27" t="str">
        <f aca="true">IF(COUNTA('Lista de Preços'!$A356:$W356)&gt;0,IF(AND('Lista de Preços'!$S356&lt;&gt;"",ISNUMBER('Lista de Preços'!$S356),'Lista de Preços'!$S356&lt;TODAY()),"ERRO","OK"),"")</f>
        <v/>
      </c>
      <c r="G367" s="27" t="str">
        <f aca="false">IF(COUNTA('Lista de Preços'!$A356:$W356)&gt;0,IF(AND('Lista de Preços'!$A356&lt;&gt;"",COUNTIF('Lista de Preços'!$A$4:$A$503,'Lista de Preços'!$A356)&gt;1),"ERRO","OK"),"")</f>
        <v/>
      </c>
      <c r="H367" s="27" t="str">
        <f aca="false">IF(COUNTA('Lista de Preços'!$A356:$W356)&gt;0,IF(AND('Lista de Preços'!$N356&lt;&gt;"",ISNUMBER('Lista de Preços'!$N356),OR('Lista de Preços'!$N356&lt;0,'Lista de Preços'!$N356&gt;0.5)),"ERRO","OK"),"")</f>
        <v/>
      </c>
      <c r="I367" s="27" t="str">
        <f aca="false">IF(COUNTA('Lista de Preços'!$A356:$W356)&gt;0,IF(OR($C367="ERRO",$D367="ERRO",$E367="ERRO",$F367="ERRO",$G367="ERRO",$H367="ERRO"),"FALHA","OK"),"")</f>
        <v/>
      </c>
    </row>
    <row r="368" customFormat="false" ht="15" hidden="false" customHeight="false" outlineLevel="0" collapsed="false">
      <c r="A368" s="26" t="n">
        <f aca="false">'Lista de Preços'!$A357</f>
        <v>0</v>
      </c>
      <c r="B368" s="26" t="n">
        <f aca="false">'Lista de Preços'!$B357</f>
        <v>0</v>
      </c>
      <c r="C368" s="27" t="str">
        <f aca="false">IF(COUNTA('Lista de Preços'!$A357:$W357)&gt;0,IF((COUNTBLANK('Lista de Preços'!$A357)+COUNTBLANK('Lista de Preços'!$B357)+COUNTBLANK('Lista de Preços'!$C357)+COUNTBLANK('Lista de Preços'!$D357)+COUNTBLANK('Lista de Preços'!$E357)+COUNTBLANK('Lista de Preços'!$F357)+COUNTBLANK('Lista de Preços'!$L357)+COUNTBLANK('Lista de Preços'!$M357)+COUNTBLANK('Lista de Preços'!$P357)+COUNTBLANK('Lista de Preços'!$U357)+COUNTBLANK('Lista de Preços'!$V357))&gt;0,"ERRO","OK"),"")</f>
        <v/>
      </c>
      <c r="D368" s="27" t="str">
        <f aca="false">IF(COUNTA('Lista de Preços'!$A357:$W357)&gt;0,IF(OR(AND('Lista de Preços'!$L357&lt;&gt;"",NOT(ISNUMBER('Lista de Preços'!$L357))),AND('Lista de Preços'!$M357&lt;&gt;"",NOT(ISNUMBER('Lista de Preços'!$M357)))),"ERRO","OK"),"")</f>
        <v/>
      </c>
      <c r="E368" s="27" t="str">
        <f aca="false">IF(COUNTA('Lista de Preços'!$A357:$W357)&gt;0,IF(AND(ISNUMBER('Lista de Preços'!$L357),ISNUMBER('Lista de Preços'!$M357),'Lista de Preços'!$L357&gt;'Lista de Preços'!$M357),"ERRO","OK"),"")</f>
        <v/>
      </c>
      <c r="F368" s="27" t="str">
        <f aca="true">IF(COUNTA('Lista de Preços'!$A357:$W357)&gt;0,IF(AND('Lista de Preços'!$S357&lt;&gt;"",ISNUMBER('Lista de Preços'!$S357),'Lista de Preços'!$S357&lt;TODAY()),"ERRO","OK"),"")</f>
        <v/>
      </c>
      <c r="G368" s="27" t="str">
        <f aca="false">IF(COUNTA('Lista de Preços'!$A357:$W357)&gt;0,IF(AND('Lista de Preços'!$A357&lt;&gt;"",COUNTIF('Lista de Preços'!$A$4:$A$503,'Lista de Preços'!$A357)&gt;1),"ERRO","OK"),"")</f>
        <v/>
      </c>
      <c r="H368" s="27" t="str">
        <f aca="false">IF(COUNTA('Lista de Preços'!$A357:$W357)&gt;0,IF(AND('Lista de Preços'!$N357&lt;&gt;"",ISNUMBER('Lista de Preços'!$N357),OR('Lista de Preços'!$N357&lt;0,'Lista de Preços'!$N357&gt;0.5)),"ERRO","OK"),"")</f>
        <v/>
      </c>
      <c r="I368" s="27" t="str">
        <f aca="false">IF(COUNTA('Lista de Preços'!$A357:$W357)&gt;0,IF(OR($C368="ERRO",$D368="ERRO",$E368="ERRO",$F368="ERRO",$G368="ERRO",$H368="ERRO"),"FALHA","OK"),"")</f>
        <v/>
      </c>
    </row>
    <row r="369" customFormat="false" ht="15" hidden="false" customHeight="false" outlineLevel="0" collapsed="false">
      <c r="A369" s="26" t="n">
        <f aca="false">'Lista de Preços'!$A358</f>
        <v>0</v>
      </c>
      <c r="B369" s="26" t="n">
        <f aca="false">'Lista de Preços'!$B358</f>
        <v>0</v>
      </c>
      <c r="C369" s="27" t="str">
        <f aca="false">IF(COUNTA('Lista de Preços'!$A358:$W358)&gt;0,IF((COUNTBLANK('Lista de Preços'!$A358)+COUNTBLANK('Lista de Preços'!$B358)+COUNTBLANK('Lista de Preços'!$C358)+COUNTBLANK('Lista de Preços'!$D358)+COUNTBLANK('Lista de Preços'!$E358)+COUNTBLANK('Lista de Preços'!$F358)+COUNTBLANK('Lista de Preços'!$L358)+COUNTBLANK('Lista de Preços'!$M358)+COUNTBLANK('Lista de Preços'!$P358)+COUNTBLANK('Lista de Preços'!$U358)+COUNTBLANK('Lista de Preços'!$V358))&gt;0,"ERRO","OK"),"")</f>
        <v/>
      </c>
      <c r="D369" s="27" t="str">
        <f aca="false">IF(COUNTA('Lista de Preços'!$A358:$W358)&gt;0,IF(OR(AND('Lista de Preços'!$L358&lt;&gt;"",NOT(ISNUMBER('Lista de Preços'!$L358))),AND('Lista de Preços'!$M358&lt;&gt;"",NOT(ISNUMBER('Lista de Preços'!$M358)))),"ERRO","OK"),"")</f>
        <v/>
      </c>
      <c r="E369" s="27" t="str">
        <f aca="false">IF(COUNTA('Lista de Preços'!$A358:$W358)&gt;0,IF(AND(ISNUMBER('Lista de Preços'!$L358),ISNUMBER('Lista de Preços'!$M358),'Lista de Preços'!$L358&gt;'Lista de Preços'!$M358),"ERRO","OK"),"")</f>
        <v/>
      </c>
      <c r="F369" s="27" t="str">
        <f aca="true">IF(COUNTA('Lista de Preços'!$A358:$W358)&gt;0,IF(AND('Lista de Preços'!$S358&lt;&gt;"",ISNUMBER('Lista de Preços'!$S358),'Lista de Preços'!$S358&lt;TODAY()),"ERRO","OK"),"")</f>
        <v/>
      </c>
      <c r="G369" s="27" t="str">
        <f aca="false">IF(COUNTA('Lista de Preços'!$A358:$W358)&gt;0,IF(AND('Lista de Preços'!$A358&lt;&gt;"",COUNTIF('Lista de Preços'!$A$4:$A$503,'Lista de Preços'!$A358)&gt;1),"ERRO","OK"),"")</f>
        <v/>
      </c>
      <c r="H369" s="27" t="str">
        <f aca="false">IF(COUNTA('Lista de Preços'!$A358:$W358)&gt;0,IF(AND('Lista de Preços'!$N358&lt;&gt;"",ISNUMBER('Lista de Preços'!$N358),OR('Lista de Preços'!$N358&lt;0,'Lista de Preços'!$N358&gt;0.5)),"ERRO","OK"),"")</f>
        <v/>
      </c>
      <c r="I369" s="27" t="str">
        <f aca="false">IF(COUNTA('Lista de Preços'!$A358:$W358)&gt;0,IF(OR($C369="ERRO",$D369="ERRO",$E369="ERRO",$F369="ERRO",$G369="ERRO",$H369="ERRO"),"FALHA","OK"),"")</f>
        <v/>
      </c>
    </row>
    <row r="370" customFormat="false" ht="15" hidden="false" customHeight="false" outlineLevel="0" collapsed="false">
      <c r="A370" s="26" t="n">
        <f aca="false">'Lista de Preços'!$A359</f>
        <v>0</v>
      </c>
      <c r="B370" s="26" t="n">
        <f aca="false">'Lista de Preços'!$B359</f>
        <v>0</v>
      </c>
      <c r="C370" s="27" t="str">
        <f aca="false">IF(COUNTA('Lista de Preços'!$A359:$W359)&gt;0,IF((COUNTBLANK('Lista de Preços'!$A359)+COUNTBLANK('Lista de Preços'!$B359)+COUNTBLANK('Lista de Preços'!$C359)+COUNTBLANK('Lista de Preços'!$D359)+COUNTBLANK('Lista de Preços'!$E359)+COUNTBLANK('Lista de Preços'!$F359)+COUNTBLANK('Lista de Preços'!$L359)+COUNTBLANK('Lista de Preços'!$M359)+COUNTBLANK('Lista de Preços'!$P359)+COUNTBLANK('Lista de Preços'!$U359)+COUNTBLANK('Lista de Preços'!$V359))&gt;0,"ERRO","OK"),"")</f>
        <v/>
      </c>
      <c r="D370" s="27" t="str">
        <f aca="false">IF(COUNTA('Lista de Preços'!$A359:$W359)&gt;0,IF(OR(AND('Lista de Preços'!$L359&lt;&gt;"",NOT(ISNUMBER('Lista de Preços'!$L359))),AND('Lista de Preços'!$M359&lt;&gt;"",NOT(ISNUMBER('Lista de Preços'!$M359)))),"ERRO","OK"),"")</f>
        <v/>
      </c>
      <c r="E370" s="27" t="str">
        <f aca="false">IF(COUNTA('Lista de Preços'!$A359:$W359)&gt;0,IF(AND(ISNUMBER('Lista de Preços'!$L359),ISNUMBER('Lista de Preços'!$M359),'Lista de Preços'!$L359&gt;'Lista de Preços'!$M359),"ERRO","OK"),"")</f>
        <v/>
      </c>
      <c r="F370" s="27" t="str">
        <f aca="true">IF(COUNTA('Lista de Preços'!$A359:$W359)&gt;0,IF(AND('Lista de Preços'!$S359&lt;&gt;"",ISNUMBER('Lista de Preços'!$S359),'Lista de Preços'!$S359&lt;TODAY()),"ERRO","OK"),"")</f>
        <v/>
      </c>
      <c r="G370" s="27" t="str">
        <f aca="false">IF(COUNTA('Lista de Preços'!$A359:$W359)&gt;0,IF(AND('Lista de Preços'!$A359&lt;&gt;"",COUNTIF('Lista de Preços'!$A$4:$A$503,'Lista de Preços'!$A359)&gt;1),"ERRO","OK"),"")</f>
        <v/>
      </c>
      <c r="H370" s="27" t="str">
        <f aca="false">IF(COUNTA('Lista de Preços'!$A359:$W359)&gt;0,IF(AND('Lista de Preços'!$N359&lt;&gt;"",ISNUMBER('Lista de Preços'!$N359),OR('Lista de Preços'!$N359&lt;0,'Lista de Preços'!$N359&gt;0.5)),"ERRO","OK"),"")</f>
        <v/>
      </c>
      <c r="I370" s="27" t="str">
        <f aca="false">IF(COUNTA('Lista de Preços'!$A359:$W359)&gt;0,IF(OR($C370="ERRO",$D370="ERRO",$E370="ERRO",$F370="ERRO",$G370="ERRO",$H370="ERRO"),"FALHA","OK"),"")</f>
        <v/>
      </c>
    </row>
    <row r="371" customFormat="false" ht="15" hidden="false" customHeight="false" outlineLevel="0" collapsed="false">
      <c r="A371" s="26" t="n">
        <f aca="false">'Lista de Preços'!$A360</f>
        <v>0</v>
      </c>
      <c r="B371" s="26" t="n">
        <f aca="false">'Lista de Preços'!$B360</f>
        <v>0</v>
      </c>
      <c r="C371" s="27" t="str">
        <f aca="false">IF(COUNTA('Lista de Preços'!$A360:$W360)&gt;0,IF((COUNTBLANK('Lista de Preços'!$A360)+COUNTBLANK('Lista de Preços'!$B360)+COUNTBLANK('Lista de Preços'!$C360)+COUNTBLANK('Lista de Preços'!$D360)+COUNTBLANK('Lista de Preços'!$E360)+COUNTBLANK('Lista de Preços'!$F360)+COUNTBLANK('Lista de Preços'!$L360)+COUNTBLANK('Lista de Preços'!$M360)+COUNTBLANK('Lista de Preços'!$P360)+COUNTBLANK('Lista de Preços'!$U360)+COUNTBLANK('Lista de Preços'!$V360))&gt;0,"ERRO","OK"),"")</f>
        <v/>
      </c>
      <c r="D371" s="27" t="str">
        <f aca="false">IF(COUNTA('Lista de Preços'!$A360:$W360)&gt;0,IF(OR(AND('Lista de Preços'!$L360&lt;&gt;"",NOT(ISNUMBER('Lista de Preços'!$L360))),AND('Lista de Preços'!$M360&lt;&gt;"",NOT(ISNUMBER('Lista de Preços'!$M360)))),"ERRO","OK"),"")</f>
        <v/>
      </c>
      <c r="E371" s="27" t="str">
        <f aca="false">IF(COUNTA('Lista de Preços'!$A360:$W360)&gt;0,IF(AND(ISNUMBER('Lista de Preços'!$L360),ISNUMBER('Lista de Preços'!$M360),'Lista de Preços'!$L360&gt;'Lista de Preços'!$M360),"ERRO","OK"),"")</f>
        <v/>
      </c>
      <c r="F371" s="27" t="str">
        <f aca="true">IF(COUNTA('Lista de Preços'!$A360:$W360)&gt;0,IF(AND('Lista de Preços'!$S360&lt;&gt;"",ISNUMBER('Lista de Preços'!$S360),'Lista de Preços'!$S360&lt;TODAY()),"ERRO","OK"),"")</f>
        <v/>
      </c>
      <c r="G371" s="27" t="str">
        <f aca="false">IF(COUNTA('Lista de Preços'!$A360:$W360)&gt;0,IF(AND('Lista de Preços'!$A360&lt;&gt;"",COUNTIF('Lista de Preços'!$A$4:$A$503,'Lista de Preços'!$A360)&gt;1),"ERRO","OK"),"")</f>
        <v/>
      </c>
      <c r="H371" s="27" t="str">
        <f aca="false">IF(COUNTA('Lista de Preços'!$A360:$W360)&gt;0,IF(AND('Lista de Preços'!$N360&lt;&gt;"",ISNUMBER('Lista de Preços'!$N360),OR('Lista de Preços'!$N360&lt;0,'Lista de Preços'!$N360&gt;0.5)),"ERRO","OK"),"")</f>
        <v/>
      </c>
      <c r="I371" s="27" t="str">
        <f aca="false">IF(COUNTA('Lista de Preços'!$A360:$W360)&gt;0,IF(OR($C371="ERRO",$D371="ERRO",$E371="ERRO",$F371="ERRO",$G371="ERRO",$H371="ERRO"),"FALHA","OK"),"")</f>
        <v/>
      </c>
    </row>
    <row r="372" customFormat="false" ht="15" hidden="false" customHeight="false" outlineLevel="0" collapsed="false">
      <c r="A372" s="26" t="n">
        <f aca="false">'Lista de Preços'!$A361</f>
        <v>0</v>
      </c>
      <c r="B372" s="26" t="n">
        <f aca="false">'Lista de Preços'!$B361</f>
        <v>0</v>
      </c>
      <c r="C372" s="27" t="str">
        <f aca="false">IF(COUNTA('Lista de Preços'!$A361:$W361)&gt;0,IF((COUNTBLANK('Lista de Preços'!$A361)+COUNTBLANK('Lista de Preços'!$B361)+COUNTBLANK('Lista de Preços'!$C361)+COUNTBLANK('Lista de Preços'!$D361)+COUNTBLANK('Lista de Preços'!$E361)+COUNTBLANK('Lista de Preços'!$F361)+COUNTBLANK('Lista de Preços'!$L361)+COUNTBLANK('Lista de Preços'!$M361)+COUNTBLANK('Lista de Preços'!$P361)+COUNTBLANK('Lista de Preços'!$U361)+COUNTBLANK('Lista de Preços'!$V361))&gt;0,"ERRO","OK"),"")</f>
        <v/>
      </c>
      <c r="D372" s="27" t="str">
        <f aca="false">IF(COUNTA('Lista de Preços'!$A361:$W361)&gt;0,IF(OR(AND('Lista de Preços'!$L361&lt;&gt;"",NOT(ISNUMBER('Lista de Preços'!$L361))),AND('Lista de Preços'!$M361&lt;&gt;"",NOT(ISNUMBER('Lista de Preços'!$M361)))),"ERRO","OK"),"")</f>
        <v/>
      </c>
      <c r="E372" s="27" t="str">
        <f aca="false">IF(COUNTA('Lista de Preços'!$A361:$W361)&gt;0,IF(AND(ISNUMBER('Lista de Preços'!$L361),ISNUMBER('Lista de Preços'!$M361),'Lista de Preços'!$L361&gt;'Lista de Preços'!$M361),"ERRO","OK"),"")</f>
        <v/>
      </c>
      <c r="F372" s="27" t="str">
        <f aca="true">IF(COUNTA('Lista de Preços'!$A361:$W361)&gt;0,IF(AND('Lista de Preços'!$S361&lt;&gt;"",ISNUMBER('Lista de Preços'!$S361),'Lista de Preços'!$S361&lt;TODAY()),"ERRO","OK"),"")</f>
        <v/>
      </c>
      <c r="G372" s="27" t="str">
        <f aca="false">IF(COUNTA('Lista de Preços'!$A361:$W361)&gt;0,IF(AND('Lista de Preços'!$A361&lt;&gt;"",COUNTIF('Lista de Preços'!$A$4:$A$503,'Lista de Preços'!$A361)&gt;1),"ERRO","OK"),"")</f>
        <v/>
      </c>
      <c r="H372" s="27" t="str">
        <f aca="false">IF(COUNTA('Lista de Preços'!$A361:$W361)&gt;0,IF(AND('Lista de Preços'!$N361&lt;&gt;"",ISNUMBER('Lista de Preços'!$N361),OR('Lista de Preços'!$N361&lt;0,'Lista de Preços'!$N361&gt;0.5)),"ERRO","OK"),"")</f>
        <v/>
      </c>
      <c r="I372" s="27" t="str">
        <f aca="false">IF(COUNTA('Lista de Preços'!$A361:$W361)&gt;0,IF(OR($C372="ERRO",$D372="ERRO",$E372="ERRO",$F372="ERRO",$G372="ERRO",$H372="ERRO"),"FALHA","OK"),"")</f>
        <v/>
      </c>
    </row>
    <row r="373" customFormat="false" ht="15" hidden="false" customHeight="false" outlineLevel="0" collapsed="false">
      <c r="A373" s="26" t="n">
        <f aca="false">'Lista de Preços'!$A362</f>
        <v>0</v>
      </c>
      <c r="B373" s="26" t="n">
        <f aca="false">'Lista de Preços'!$B362</f>
        <v>0</v>
      </c>
      <c r="C373" s="27" t="str">
        <f aca="false">IF(COUNTA('Lista de Preços'!$A362:$W362)&gt;0,IF((COUNTBLANK('Lista de Preços'!$A362)+COUNTBLANK('Lista de Preços'!$B362)+COUNTBLANK('Lista de Preços'!$C362)+COUNTBLANK('Lista de Preços'!$D362)+COUNTBLANK('Lista de Preços'!$E362)+COUNTBLANK('Lista de Preços'!$F362)+COUNTBLANK('Lista de Preços'!$L362)+COUNTBLANK('Lista de Preços'!$M362)+COUNTBLANK('Lista de Preços'!$P362)+COUNTBLANK('Lista de Preços'!$U362)+COUNTBLANK('Lista de Preços'!$V362))&gt;0,"ERRO","OK"),"")</f>
        <v/>
      </c>
      <c r="D373" s="27" t="str">
        <f aca="false">IF(COUNTA('Lista de Preços'!$A362:$W362)&gt;0,IF(OR(AND('Lista de Preços'!$L362&lt;&gt;"",NOT(ISNUMBER('Lista de Preços'!$L362))),AND('Lista de Preços'!$M362&lt;&gt;"",NOT(ISNUMBER('Lista de Preços'!$M362)))),"ERRO","OK"),"")</f>
        <v/>
      </c>
      <c r="E373" s="27" t="str">
        <f aca="false">IF(COUNTA('Lista de Preços'!$A362:$W362)&gt;0,IF(AND(ISNUMBER('Lista de Preços'!$L362),ISNUMBER('Lista de Preços'!$M362),'Lista de Preços'!$L362&gt;'Lista de Preços'!$M362),"ERRO","OK"),"")</f>
        <v/>
      </c>
      <c r="F373" s="27" t="str">
        <f aca="true">IF(COUNTA('Lista de Preços'!$A362:$W362)&gt;0,IF(AND('Lista de Preços'!$S362&lt;&gt;"",ISNUMBER('Lista de Preços'!$S362),'Lista de Preços'!$S362&lt;TODAY()),"ERRO","OK"),"")</f>
        <v/>
      </c>
      <c r="G373" s="27" t="str">
        <f aca="false">IF(COUNTA('Lista de Preços'!$A362:$W362)&gt;0,IF(AND('Lista de Preços'!$A362&lt;&gt;"",COUNTIF('Lista de Preços'!$A$4:$A$503,'Lista de Preços'!$A362)&gt;1),"ERRO","OK"),"")</f>
        <v/>
      </c>
      <c r="H373" s="27" t="str">
        <f aca="false">IF(COUNTA('Lista de Preços'!$A362:$W362)&gt;0,IF(AND('Lista de Preços'!$N362&lt;&gt;"",ISNUMBER('Lista de Preços'!$N362),OR('Lista de Preços'!$N362&lt;0,'Lista de Preços'!$N362&gt;0.5)),"ERRO","OK"),"")</f>
        <v/>
      </c>
      <c r="I373" s="27" t="str">
        <f aca="false">IF(COUNTA('Lista de Preços'!$A362:$W362)&gt;0,IF(OR($C373="ERRO",$D373="ERRO",$E373="ERRO",$F373="ERRO",$G373="ERRO",$H373="ERRO"),"FALHA","OK"),"")</f>
        <v/>
      </c>
    </row>
    <row r="374" customFormat="false" ht="15" hidden="false" customHeight="false" outlineLevel="0" collapsed="false">
      <c r="A374" s="26" t="n">
        <f aca="false">'Lista de Preços'!$A363</f>
        <v>0</v>
      </c>
      <c r="B374" s="26" t="n">
        <f aca="false">'Lista de Preços'!$B363</f>
        <v>0</v>
      </c>
      <c r="C374" s="27" t="str">
        <f aca="false">IF(COUNTA('Lista de Preços'!$A363:$W363)&gt;0,IF((COUNTBLANK('Lista de Preços'!$A363)+COUNTBLANK('Lista de Preços'!$B363)+COUNTBLANK('Lista de Preços'!$C363)+COUNTBLANK('Lista de Preços'!$D363)+COUNTBLANK('Lista de Preços'!$E363)+COUNTBLANK('Lista de Preços'!$F363)+COUNTBLANK('Lista de Preços'!$L363)+COUNTBLANK('Lista de Preços'!$M363)+COUNTBLANK('Lista de Preços'!$P363)+COUNTBLANK('Lista de Preços'!$U363)+COUNTBLANK('Lista de Preços'!$V363))&gt;0,"ERRO","OK"),"")</f>
        <v/>
      </c>
      <c r="D374" s="27" t="str">
        <f aca="false">IF(COUNTA('Lista de Preços'!$A363:$W363)&gt;0,IF(OR(AND('Lista de Preços'!$L363&lt;&gt;"",NOT(ISNUMBER('Lista de Preços'!$L363))),AND('Lista de Preços'!$M363&lt;&gt;"",NOT(ISNUMBER('Lista de Preços'!$M363)))),"ERRO","OK"),"")</f>
        <v/>
      </c>
      <c r="E374" s="27" t="str">
        <f aca="false">IF(COUNTA('Lista de Preços'!$A363:$W363)&gt;0,IF(AND(ISNUMBER('Lista de Preços'!$L363),ISNUMBER('Lista de Preços'!$M363),'Lista de Preços'!$L363&gt;'Lista de Preços'!$M363),"ERRO","OK"),"")</f>
        <v/>
      </c>
      <c r="F374" s="27" t="str">
        <f aca="true">IF(COUNTA('Lista de Preços'!$A363:$W363)&gt;0,IF(AND('Lista de Preços'!$S363&lt;&gt;"",ISNUMBER('Lista de Preços'!$S363),'Lista de Preços'!$S363&lt;TODAY()),"ERRO","OK"),"")</f>
        <v/>
      </c>
      <c r="G374" s="27" t="str">
        <f aca="false">IF(COUNTA('Lista de Preços'!$A363:$W363)&gt;0,IF(AND('Lista de Preços'!$A363&lt;&gt;"",COUNTIF('Lista de Preços'!$A$4:$A$503,'Lista de Preços'!$A363)&gt;1),"ERRO","OK"),"")</f>
        <v/>
      </c>
      <c r="H374" s="27" t="str">
        <f aca="false">IF(COUNTA('Lista de Preços'!$A363:$W363)&gt;0,IF(AND('Lista de Preços'!$N363&lt;&gt;"",ISNUMBER('Lista de Preços'!$N363),OR('Lista de Preços'!$N363&lt;0,'Lista de Preços'!$N363&gt;0.5)),"ERRO","OK"),"")</f>
        <v/>
      </c>
      <c r="I374" s="27" t="str">
        <f aca="false">IF(COUNTA('Lista de Preços'!$A363:$W363)&gt;0,IF(OR($C374="ERRO",$D374="ERRO",$E374="ERRO",$F374="ERRO",$G374="ERRO",$H374="ERRO"),"FALHA","OK"),"")</f>
        <v/>
      </c>
    </row>
    <row r="375" customFormat="false" ht="15" hidden="false" customHeight="false" outlineLevel="0" collapsed="false">
      <c r="A375" s="26" t="n">
        <f aca="false">'Lista de Preços'!$A364</f>
        <v>0</v>
      </c>
      <c r="B375" s="26" t="n">
        <f aca="false">'Lista de Preços'!$B364</f>
        <v>0</v>
      </c>
      <c r="C375" s="27" t="str">
        <f aca="false">IF(COUNTA('Lista de Preços'!$A364:$W364)&gt;0,IF((COUNTBLANK('Lista de Preços'!$A364)+COUNTBLANK('Lista de Preços'!$B364)+COUNTBLANK('Lista de Preços'!$C364)+COUNTBLANK('Lista de Preços'!$D364)+COUNTBLANK('Lista de Preços'!$E364)+COUNTBLANK('Lista de Preços'!$F364)+COUNTBLANK('Lista de Preços'!$L364)+COUNTBLANK('Lista de Preços'!$M364)+COUNTBLANK('Lista de Preços'!$P364)+COUNTBLANK('Lista de Preços'!$U364)+COUNTBLANK('Lista de Preços'!$V364))&gt;0,"ERRO","OK"),"")</f>
        <v/>
      </c>
      <c r="D375" s="27" t="str">
        <f aca="false">IF(COUNTA('Lista de Preços'!$A364:$W364)&gt;0,IF(OR(AND('Lista de Preços'!$L364&lt;&gt;"",NOT(ISNUMBER('Lista de Preços'!$L364))),AND('Lista de Preços'!$M364&lt;&gt;"",NOT(ISNUMBER('Lista de Preços'!$M364)))),"ERRO","OK"),"")</f>
        <v/>
      </c>
      <c r="E375" s="27" t="str">
        <f aca="false">IF(COUNTA('Lista de Preços'!$A364:$W364)&gt;0,IF(AND(ISNUMBER('Lista de Preços'!$L364),ISNUMBER('Lista de Preços'!$M364),'Lista de Preços'!$L364&gt;'Lista de Preços'!$M364),"ERRO","OK"),"")</f>
        <v/>
      </c>
      <c r="F375" s="27" t="str">
        <f aca="true">IF(COUNTA('Lista de Preços'!$A364:$W364)&gt;0,IF(AND('Lista de Preços'!$S364&lt;&gt;"",ISNUMBER('Lista de Preços'!$S364),'Lista de Preços'!$S364&lt;TODAY()),"ERRO","OK"),"")</f>
        <v/>
      </c>
      <c r="G375" s="27" t="str">
        <f aca="false">IF(COUNTA('Lista de Preços'!$A364:$W364)&gt;0,IF(AND('Lista de Preços'!$A364&lt;&gt;"",COUNTIF('Lista de Preços'!$A$4:$A$503,'Lista de Preços'!$A364)&gt;1),"ERRO","OK"),"")</f>
        <v/>
      </c>
      <c r="H375" s="27" t="str">
        <f aca="false">IF(COUNTA('Lista de Preços'!$A364:$W364)&gt;0,IF(AND('Lista de Preços'!$N364&lt;&gt;"",ISNUMBER('Lista de Preços'!$N364),OR('Lista de Preços'!$N364&lt;0,'Lista de Preços'!$N364&gt;0.5)),"ERRO","OK"),"")</f>
        <v/>
      </c>
      <c r="I375" s="27" t="str">
        <f aca="false">IF(COUNTA('Lista de Preços'!$A364:$W364)&gt;0,IF(OR($C375="ERRO",$D375="ERRO",$E375="ERRO",$F375="ERRO",$G375="ERRO",$H375="ERRO"),"FALHA","OK"),"")</f>
        <v/>
      </c>
    </row>
    <row r="376" customFormat="false" ht="15" hidden="false" customHeight="false" outlineLevel="0" collapsed="false">
      <c r="A376" s="26" t="n">
        <f aca="false">'Lista de Preços'!$A365</f>
        <v>0</v>
      </c>
      <c r="B376" s="26" t="n">
        <f aca="false">'Lista de Preços'!$B365</f>
        <v>0</v>
      </c>
      <c r="C376" s="27" t="str">
        <f aca="false">IF(COUNTA('Lista de Preços'!$A365:$W365)&gt;0,IF((COUNTBLANK('Lista de Preços'!$A365)+COUNTBLANK('Lista de Preços'!$B365)+COUNTBLANK('Lista de Preços'!$C365)+COUNTBLANK('Lista de Preços'!$D365)+COUNTBLANK('Lista de Preços'!$E365)+COUNTBLANK('Lista de Preços'!$F365)+COUNTBLANK('Lista de Preços'!$L365)+COUNTBLANK('Lista de Preços'!$M365)+COUNTBLANK('Lista de Preços'!$P365)+COUNTBLANK('Lista de Preços'!$U365)+COUNTBLANK('Lista de Preços'!$V365))&gt;0,"ERRO","OK"),"")</f>
        <v/>
      </c>
      <c r="D376" s="27" t="str">
        <f aca="false">IF(COUNTA('Lista de Preços'!$A365:$W365)&gt;0,IF(OR(AND('Lista de Preços'!$L365&lt;&gt;"",NOT(ISNUMBER('Lista de Preços'!$L365))),AND('Lista de Preços'!$M365&lt;&gt;"",NOT(ISNUMBER('Lista de Preços'!$M365)))),"ERRO","OK"),"")</f>
        <v/>
      </c>
      <c r="E376" s="27" t="str">
        <f aca="false">IF(COUNTA('Lista de Preços'!$A365:$W365)&gt;0,IF(AND(ISNUMBER('Lista de Preços'!$L365),ISNUMBER('Lista de Preços'!$M365),'Lista de Preços'!$L365&gt;'Lista de Preços'!$M365),"ERRO","OK"),"")</f>
        <v/>
      </c>
      <c r="F376" s="27" t="str">
        <f aca="true">IF(COUNTA('Lista de Preços'!$A365:$W365)&gt;0,IF(AND('Lista de Preços'!$S365&lt;&gt;"",ISNUMBER('Lista de Preços'!$S365),'Lista de Preços'!$S365&lt;TODAY()),"ERRO","OK"),"")</f>
        <v/>
      </c>
      <c r="G376" s="27" t="str">
        <f aca="false">IF(COUNTA('Lista de Preços'!$A365:$W365)&gt;0,IF(AND('Lista de Preços'!$A365&lt;&gt;"",COUNTIF('Lista de Preços'!$A$4:$A$503,'Lista de Preços'!$A365)&gt;1),"ERRO","OK"),"")</f>
        <v/>
      </c>
      <c r="H376" s="27" t="str">
        <f aca="false">IF(COUNTA('Lista de Preços'!$A365:$W365)&gt;0,IF(AND('Lista de Preços'!$N365&lt;&gt;"",ISNUMBER('Lista de Preços'!$N365),OR('Lista de Preços'!$N365&lt;0,'Lista de Preços'!$N365&gt;0.5)),"ERRO","OK"),"")</f>
        <v/>
      </c>
      <c r="I376" s="27" t="str">
        <f aca="false">IF(COUNTA('Lista de Preços'!$A365:$W365)&gt;0,IF(OR($C376="ERRO",$D376="ERRO",$E376="ERRO",$F376="ERRO",$G376="ERRO",$H376="ERRO"),"FALHA","OK"),"")</f>
        <v/>
      </c>
    </row>
    <row r="377" customFormat="false" ht="15" hidden="false" customHeight="false" outlineLevel="0" collapsed="false">
      <c r="A377" s="26" t="n">
        <f aca="false">'Lista de Preços'!$A366</f>
        <v>0</v>
      </c>
      <c r="B377" s="26" t="n">
        <f aca="false">'Lista de Preços'!$B366</f>
        <v>0</v>
      </c>
      <c r="C377" s="27" t="str">
        <f aca="false">IF(COUNTA('Lista de Preços'!$A366:$W366)&gt;0,IF((COUNTBLANK('Lista de Preços'!$A366)+COUNTBLANK('Lista de Preços'!$B366)+COUNTBLANK('Lista de Preços'!$C366)+COUNTBLANK('Lista de Preços'!$D366)+COUNTBLANK('Lista de Preços'!$E366)+COUNTBLANK('Lista de Preços'!$F366)+COUNTBLANK('Lista de Preços'!$L366)+COUNTBLANK('Lista de Preços'!$M366)+COUNTBLANK('Lista de Preços'!$P366)+COUNTBLANK('Lista de Preços'!$U366)+COUNTBLANK('Lista de Preços'!$V366))&gt;0,"ERRO","OK"),"")</f>
        <v/>
      </c>
      <c r="D377" s="27" t="str">
        <f aca="false">IF(COUNTA('Lista de Preços'!$A366:$W366)&gt;0,IF(OR(AND('Lista de Preços'!$L366&lt;&gt;"",NOT(ISNUMBER('Lista de Preços'!$L366))),AND('Lista de Preços'!$M366&lt;&gt;"",NOT(ISNUMBER('Lista de Preços'!$M366)))),"ERRO","OK"),"")</f>
        <v/>
      </c>
      <c r="E377" s="27" t="str">
        <f aca="false">IF(COUNTA('Lista de Preços'!$A366:$W366)&gt;0,IF(AND(ISNUMBER('Lista de Preços'!$L366),ISNUMBER('Lista de Preços'!$M366),'Lista de Preços'!$L366&gt;'Lista de Preços'!$M366),"ERRO","OK"),"")</f>
        <v/>
      </c>
      <c r="F377" s="27" t="str">
        <f aca="true">IF(COUNTA('Lista de Preços'!$A366:$W366)&gt;0,IF(AND('Lista de Preços'!$S366&lt;&gt;"",ISNUMBER('Lista de Preços'!$S366),'Lista de Preços'!$S366&lt;TODAY()),"ERRO","OK"),"")</f>
        <v/>
      </c>
      <c r="G377" s="27" t="str">
        <f aca="false">IF(COUNTA('Lista de Preços'!$A366:$W366)&gt;0,IF(AND('Lista de Preços'!$A366&lt;&gt;"",COUNTIF('Lista de Preços'!$A$4:$A$503,'Lista de Preços'!$A366)&gt;1),"ERRO","OK"),"")</f>
        <v/>
      </c>
      <c r="H377" s="27" t="str">
        <f aca="false">IF(COUNTA('Lista de Preços'!$A366:$W366)&gt;0,IF(AND('Lista de Preços'!$N366&lt;&gt;"",ISNUMBER('Lista de Preços'!$N366),OR('Lista de Preços'!$N366&lt;0,'Lista de Preços'!$N366&gt;0.5)),"ERRO","OK"),"")</f>
        <v/>
      </c>
      <c r="I377" s="27" t="str">
        <f aca="false">IF(COUNTA('Lista de Preços'!$A366:$W366)&gt;0,IF(OR($C377="ERRO",$D377="ERRO",$E377="ERRO",$F377="ERRO",$G377="ERRO",$H377="ERRO"),"FALHA","OK"),"")</f>
        <v/>
      </c>
    </row>
    <row r="378" customFormat="false" ht="15" hidden="false" customHeight="false" outlineLevel="0" collapsed="false">
      <c r="A378" s="26" t="n">
        <f aca="false">'Lista de Preços'!$A367</f>
        <v>0</v>
      </c>
      <c r="B378" s="26" t="n">
        <f aca="false">'Lista de Preços'!$B367</f>
        <v>0</v>
      </c>
      <c r="C378" s="27" t="str">
        <f aca="false">IF(COUNTA('Lista de Preços'!$A367:$W367)&gt;0,IF((COUNTBLANK('Lista de Preços'!$A367)+COUNTBLANK('Lista de Preços'!$B367)+COUNTBLANK('Lista de Preços'!$C367)+COUNTBLANK('Lista de Preços'!$D367)+COUNTBLANK('Lista de Preços'!$E367)+COUNTBLANK('Lista de Preços'!$F367)+COUNTBLANK('Lista de Preços'!$L367)+COUNTBLANK('Lista de Preços'!$M367)+COUNTBLANK('Lista de Preços'!$P367)+COUNTBLANK('Lista de Preços'!$U367)+COUNTBLANK('Lista de Preços'!$V367))&gt;0,"ERRO","OK"),"")</f>
        <v/>
      </c>
      <c r="D378" s="27" t="str">
        <f aca="false">IF(COUNTA('Lista de Preços'!$A367:$W367)&gt;0,IF(OR(AND('Lista de Preços'!$L367&lt;&gt;"",NOT(ISNUMBER('Lista de Preços'!$L367))),AND('Lista de Preços'!$M367&lt;&gt;"",NOT(ISNUMBER('Lista de Preços'!$M367)))),"ERRO","OK"),"")</f>
        <v/>
      </c>
      <c r="E378" s="27" t="str">
        <f aca="false">IF(COUNTA('Lista de Preços'!$A367:$W367)&gt;0,IF(AND(ISNUMBER('Lista de Preços'!$L367),ISNUMBER('Lista de Preços'!$M367),'Lista de Preços'!$L367&gt;'Lista de Preços'!$M367),"ERRO","OK"),"")</f>
        <v/>
      </c>
      <c r="F378" s="27" t="str">
        <f aca="true">IF(COUNTA('Lista de Preços'!$A367:$W367)&gt;0,IF(AND('Lista de Preços'!$S367&lt;&gt;"",ISNUMBER('Lista de Preços'!$S367),'Lista de Preços'!$S367&lt;TODAY()),"ERRO","OK"),"")</f>
        <v/>
      </c>
      <c r="G378" s="27" t="str">
        <f aca="false">IF(COUNTA('Lista de Preços'!$A367:$W367)&gt;0,IF(AND('Lista de Preços'!$A367&lt;&gt;"",COUNTIF('Lista de Preços'!$A$4:$A$503,'Lista de Preços'!$A367)&gt;1),"ERRO","OK"),"")</f>
        <v/>
      </c>
      <c r="H378" s="27" t="str">
        <f aca="false">IF(COUNTA('Lista de Preços'!$A367:$W367)&gt;0,IF(AND('Lista de Preços'!$N367&lt;&gt;"",ISNUMBER('Lista de Preços'!$N367),OR('Lista de Preços'!$N367&lt;0,'Lista de Preços'!$N367&gt;0.5)),"ERRO","OK"),"")</f>
        <v/>
      </c>
      <c r="I378" s="27" t="str">
        <f aca="false">IF(COUNTA('Lista de Preços'!$A367:$W367)&gt;0,IF(OR($C378="ERRO",$D378="ERRO",$E378="ERRO",$F378="ERRO",$G378="ERRO",$H378="ERRO"),"FALHA","OK"),"")</f>
        <v/>
      </c>
    </row>
    <row r="379" customFormat="false" ht="15" hidden="false" customHeight="false" outlineLevel="0" collapsed="false">
      <c r="A379" s="26" t="n">
        <f aca="false">'Lista de Preços'!$A368</f>
        <v>0</v>
      </c>
      <c r="B379" s="26" t="n">
        <f aca="false">'Lista de Preços'!$B368</f>
        <v>0</v>
      </c>
      <c r="C379" s="27" t="str">
        <f aca="false">IF(COUNTA('Lista de Preços'!$A368:$W368)&gt;0,IF((COUNTBLANK('Lista de Preços'!$A368)+COUNTBLANK('Lista de Preços'!$B368)+COUNTBLANK('Lista de Preços'!$C368)+COUNTBLANK('Lista de Preços'!$D368)+COUNTBLANK('Lista de Preços'!$E368)+COUNTBLANK('Lista de Preços'!$F368)+COUNTBLANK('Lista de Preços'!$L368)+COUNTBLANK('Lista de Preços'!$M368)+COUNTBLANK('Lista de Preços'!$P368)+COUNTBLANK('Lista de Preços'!$U368)+COUNTBLANK('Lista de Preços'!$V368))&gt;0,"ERRO","OK"),"")</f>
        <v/>
      </c>
      <c r="D379" s="27" t="str">
        <f aca="false">IF(COUNTA('Lista de Preços'!$A368:$W368)&gt;0,IF(OR(AND('Lista de Preços'!$L368&lt;&gt;"",NOT(ISNUMBER('Lista de Preços'!$L368))),AND('Lista de Preços'!$M368&lt;&gt;"",NOT(ISNUMBER('Lista de Preços'!$M368)))),"ERRO","OK"),"")</f>
        <v/>
      </c>
      <c r="E379" s="27" t="str">
        <f aca="false">IF(COUNTA('Lista de Preços'!$A368:$W368)&gt;0,IF(AND(ISNUMBER('Lista de Preços'!$L368),ISNUMBER('Lista de Preços'!$M368),'Lista de Preços'!$L368&gt;'Lista de Preços'!$M368),"ERRO","OK"),"")</f>
        <v/>
      </c>
      <c r="F379" s="27" t="str">
        <f aca="true">IF(COUNTA('Lista de Preços'!$A368:$W368)&gt;0,IF(AND('Lista de Preços'!$S368&lt;&gt;"",ISNUMBER('Lista de Preços'!$S368),'Lista de Preços'!$S368&lt;TODAY()),"ERRO","OK"),"")</f>
        <v/>
      </c>
      <c r="G379" s="27" t="str">
        <f aca="false">IF(COUNTA('Lista de Preços'!$A368:$W368)&gt;0,IF(AND('Lista de Preços'!$A368&lt;&gt;"",COUNTIF('Lista de Preços'!$A$4:$A$503,'Lista de Preços'!$A368)&gt;1),"ERRO","OK"),"")</f>
        <v/>
      </c>
      <c r="H379" s="27" t="str">
        <f aca="false">IF(COUNTA('Lista de Preços'!$A368:$W368)&gt;0,IF(AND('Lista de Preços'!$N368&lt;&gt;"",ISNUMBER('Lista de Preços'!$N368),OR('Lista de Preços'!$N368&lt;0,'Lista de Preços'!$N368&gt;0.5)),"ERRO","OK"),"")</f>
        <v/>
      </c>
      <c r="I379" s="27" t="str">
        <f aca="false">IF(COUNTA('Lista de Preços'!$A368:$W368)&gt;0,IF(OR($C379="ERRO",$D379="ERRO",$E379="ERRO",$F379="ERRO",$G379="ERRO",$H379="ERRO"),"FALHA","OK"),"")</f>
        <v/>
      </c>
    </row>
    <row r="380" customFormat="false" ht="15" hidden="false" customHeight="false" outlineLevel="0" collapsed="false">
      <c r="A380" s="26" t="n">
        <f aca="false">'Lista de Preços'!$A369</f>
        <v>0</v>
      </c>
      <c r="B380" s="26" t="n">
        <f aca="false">'Lista de Preços'!$B369</f>
        <v>0</v>
      </c>
      <c r="C380" s="27" t="str">
        <f aca="false">IF(COUNTA('Lista de Preços'!$A369:$W369)&gt;0,IF((COUNTBLANK('Lista de Preços'!$A369)+COUNTBLANK('Lista de Preços'!$B369)+COUNTBLANK('Lista de Preços'!$C369)+COUNTBLANK('Lista de Preços'!$D369)+COUNTBLANK('Lista de Preços'!$E369)+COUNTBLANK('Lista de Preços'!$F369)+COUNTBLANK('Lista de Preços'!$L369)+COUNTBLANK('Lista de Preços'!$M369)+COUNTBLANK('Lista de Preços'!$P369)+COUNTBLANK('Lista de Preços'!$U369)+COUNTBLANK('Lista de Preços'!$V369))&gt;0,"ERRO","OK"),"")</f>
        <v/>
      </c>
      <c r="D380" s="27" t="str">
        <f aca="false">IF(COUNTA('Lista de Preços'!$A369:$W369)&gt;0,IF(OR(AND('Lista de Preços'!$L369&lt;&gt;"",NOT(ISNUMBER('Lista de Preços'!$L369))),AND('Lista de Preços'!$M369&lt;&gt;"",NOT(ISNUMBER('Lista de Preços'!$M369)))),"ERRO","OK"),"")</f>
        <v/>
      </c>
      <c r="E380" s="27" t="str">
        <f aca="false">IF(COUNTA('Lista de Preços'!$A369:$W369)&gt;0,IF(AND(ISNUMBER('Lista de Preços'!$L369),ISNUMBER('Lista de Preços'!$M369),'Lista de Preços'!$L369&gt;'Lista de Preços'!$M369),"ERRO","OK"),"")</f>
        <v/>
      </c>
      <c r="F380" s="27" t="str">
        <f aca="true">IF(COUNTA('Lista de Preços'!$A369:$W369)&gt;0,IF(AND('Lista de Preços'!$S369&lt;&gt;"",ISNUMBER('Lista de Preços'!$S369),'Lista de Preços'!$S369&lt;TODAY()),"ERRO","OK"),"")</f>
        <v/>
      </c>
      <c r="G380" s="27" t="str">
        <f aca="false">IF(COUNTA('Lista de Preços'!$A369:$W369)&gt;0,IF(AND('Lista de Preços'!$A369&lt;&gt;"",COUNTIF('Lista de Preços'!$A$4:$A$503,'Lista de Preços'!$A369)&gt;1),"ERRO","OK"),"")</f>
        <v/>
      </c>
      <c r="H380" s="27" t="str">
        <f aca="false">IF(COUNTA('Lista de Preços'!$A369:$W369)&gt;0,IF(AND('Lista de Preços'!$N369&lt;&gt;"",ISNUMBER('Lista de Preços'!$N369),OR('Lista de Preços'!$N369&lt;0,'Lista de Preços'!$N369&gt;0.5)),"ERRO","OK"),"")</f>
        <v/>
      </c>
      <c r="I380" s="27" t="str">
        <f aca="false">IF(COUNTA('Lista de Preços'!$A369:$W369)&gt;0,IF(OR($C380="ERRO",$D380="ERRO",$E380="ERRO",$F380="ERRO",$G380="ERRO",$H380="ERRO"),"FALHA","OK"),"")</f>
        <v/>
      </c>
    </row>
    <row r="381" customFormat="false" ht="15" hidden="false" customHeight="false" outlineLevel="0" collapsed="false">
      <c r="A381" s="26" t="n">
        <f aca="false">'Lista de Preços'!$A370</f>
        <v>0</v>
      </c>
      <c r="B381" s="26" t="n">
        <f aca="false">'Lista de Preços'!$B370</f>
        <v>0</v>
      </c>
      <c r="C381" s="27" t="str">
        <f aca="false">IF(COUNTA('Lista de Preços'!$A370:$W370)&gt;0,IF((COUNTBLANK('Lista de Preços'!$A370)+COUNTBLANK('Lista de Preços'!$B370)+COUNTBLANK('Lista de Preços'!$C370)+COUNTBLANK('Lista de Preços'!$D370)+COUNTBLANK('Lista de Preços'!$E370)+COUNTBLANK('Lista de Preços'!$F370)+COUNTBLANK('Lista de Preços'!$L370)+COUNTBLANK('Lista de Preços'!$M370)+COUNTBLANK('Lista de Preços'!$P370)+COUNTBLANK('Lista de Preços'!$U370)+COUNTBLANK('Lista de Preços'!$V370))&gt;0,"ERRO","OK"),"")</f>
        <v/>
      </c>
      <c r="D381" s="27" t="str">
        <f aca="false">IF(COUNTA('Lista de Preços'!$A370:$W370)&gt;0,IF(OR(AND('Lista de Preços'!$L370&lt;&gt;"",NOT(ISNUMBER('Lista de Preços'!$L370))),AND('Lista de Preços'!$M370&lt;&gt;"",NOT(ISNUMBER('Lista de Preços'!$M370)))),"ERRO","OK"),"")</f>
        <v/>
      </c>
      <c r="E381" s="27" t="str">
        <f aca="false">IF(COUNTA('Lista de Preços'!$A370:$W370)&gt;0,IF(AND(ISNUMBER('Lista de Preços'!$L370),ISNUMBER('Lista de Preços'!$M370),'Lista de Preços'!$L370&gt;'Lista de Preços'!$M370),"ERRO","OK"),"")</f>
        <v/>
      </c>
      <c r="F381" s="27" t="str">
        <f aca="true">IF(COUNTA('Lista de Preços'!$A370:$W370)&gt;0,IF(AND('Lista de Preços'!$S370&lt;&gt;"",ISNUMBER('Lista de Preços'!$S370),'Lista de Preços'!$S370&lt;TODAY()),"ERRO","OK"),"")</f>
        <v/>
      </c>
      <c r="G381" s="27" t="str">
        <f aca="false">IF(COUNTA('Lista de Preços'!$A370:$W370)&gt;0,IF(AND('Lista de Preços'!$A370&lt;&gt;"",COUNTIF('Lista de Preços'!$A$4:$A$503,'Lista de Preços'!$A370)&gt;1),"ERRO","OK"),"")</f>
        <v/>
      </c>
      <c r="H381" s="27" t="str">
        <f aca="false">IF(COUNTA('Lista de Preços'!$A370:$W370)&gt;0,IF(AND('Lista de Preços'!$N370&lt;&gt;"",ISNUMBER('Lista de Preços'!$N370),OR('Lista de Preços'!$N370&lt;0,'Lista de Preços'!$N370&gt;0.5)),"ERRO","OK"),"")</f>
        <v/>
      </c>
      <c r="I381" s="27" t="str">
        <f aca="false">IF(COUNTA('Lista de Preços'!$A370:$W370)&gt;0,IF(OR($C381="ERRO",$D381="ERRO",$E381="ERRO",$F381="ERRO",$G381="ERRO",$H381="ERRO"),"FALHA","OK"),"")</f>
        <v/>
      </c>
    </row>
    <row r="382" customFormat="false" ht="15" hidden="false" customHeight="false" outlineLevel="0" collapsed="false">
      <c r="A382" s="26" t="n">
        <f aca="false">'Lista de Preços'!$A371</f>
        <v>0</v>
      </c>
      <c r="B382" s="26" t="n">
        <f aca="false">'Lista de Preços'!$B371</f>
        <v>0</v>
      </c>
      <c r="C382" s="27" t="str">
        <f aca="false">IF(COUNTA('Lista de Preços'!$A371:$W371)&gt;0,IF((COUNTBLANK('Lista de Preços'!$A371)+COUNTBLANK('Lista de Preços'!$B371)+COUNTBLANK('Lista de Preços'!$C371)+COUNTBLANK('Lista de Preços'!$D371)+COUNTBLANK('Lista de Preços'!$E371)+COUNTBLANK('Lista de Preços'!$F371)+COUNTBLANK('Lista de Preços'!$L371)+COUNTBLANK('Lista de Preços'!$M371)+COUNTBLANK('Lista de Preços'!$P371)+COUNTBLANK('Lista de Preços'!$U371)+COUNTBLANK('Lista de Preços'!$V371))&gt;0,"ERRO","OK"),"")</f>
        <v/>
      </c>
      <c r="D382" s="27" t="str">
        <f aca="false">IF(COUNTA('Lista de Preços'!$A371:$W371)&gt;0,IF(OR(AND('Lista de Preços'!$L371&lt;&gt;"",NOT(ISNUMBER('Lista de Preços'!$L371))),AND('Lista de Preços'!$M371&lt;&gt;"",NOT(ISNUMBER('Lista de Preços'!$M371)))),"ERRO","OK"),"")</f>
        <v/>
      </c>
      <c r="E382" s="27" t="str">
        <f aca="false">IF(COUNTA('Lista de Preços'!$A371:$W371)&gt;0,IF(AND(ISNUMBER('Lista de Preços'!$L371),ISNUMBER('Lista de Preços'!$M371),'Lista de Preços'!$L371&gt;'Lista de Preços'!$M371),"ERRO","OK"),"")</f>
        <v/>
      </c>
      <c r="F382" s="27" t="str">
        <f aca="true">IF(COUNTA('Lista de Preços'!$A371:$W371)&gt;0,IF(AND('Lista de Preços'!$S371&lt;&gt;"",ISNUMBER('Lista de Preços'!$S371),'Lista de Preços'!$S371&lt;TODAY()),"ERRO","OK"),"")</f>
        <v/>
      </c>
      <c r="G382" s="27" t="str">
        <f aca="false">IF(COUNTA('Lista de Preços'!$A371:$W371)&gt;0,IF(AND('Lista de Preços'!$A371&lt;&gt;"",COUNTIF('Lista de Preços'!$A$4:$A$503,'Lista de Preços'!$A371)&gt;1),"ERRO","OK"),"")</f>
        <v/>
      </c>
      <c r="H382" s="27" t="str">
        <f aca="false">IF(COUNTA('Lista de Preços'!$A371:$W371)&gt;0,IF(AND('Lista de Preços'!$N371&lt;&gt;"",ISNUMBER('Lista de Preços'!$N371),OR('Lista de Preços'!$N371&lt;0,'Lista de Preços'!$N371&gt;0.5)),"ERRO","OK"),"")</f>
        <v/>
      </c>
      <c r="I382" s="27" t="str">
        <f aca="false">IF(COUNTA('Lista de Preços'!$A371:$W371)&gt;0,IF(OR($C382="ERRO",$D382="ERRO",$E382="ERRO",$F382="ERRO",$G382="ERRO",$H382="ERRO"),"FALHA","OK"),"")</f>
        <v/>
      </c>
    </row>
    <row r="383" customFormat="false" ht="15" hidden="false" customHeight="false" outlineLevel="0" collapsed="false">
      <c r="A383" s="26" t="n">
        <f aca="false">'Lista de Preços'!$A372</f>
        <v>0</v>
      </c>
      <c r="B383" s="26" t="n">
        <f aca="false">'Lista de Preços'!$B372</f>
        <v>0</v>
      </c>
      <c r="C383" s="27" t="str">
        <f aca="false">IF(COUNTA('Lista de Preços'!$A372:$W372)&gt;0,IF((COUNTBLANK('Lista de Preços'!$A372)+COUNTBLANK('Lista de Preços'!$B372)+COUNTBLANK('Lista de Preços'!$C372)+COUNTBLANK('Lista de Preços'!$D372)+COUNTBLANK('Lista de Preços'!$E372)+COUNTBLANK('Lista de Preços'!$F372)+COUNTBLANK('Lista de Preços'!$L372)+COUNTBLANK('Lista de Preços'!$M372)+COUNTBLANK('Lista de Preços'!$P372)+COUNTBLANK('Lista de Preços'!$U372)+COUNTBLANK('Lista de Preços'!$V372))&gt;0,"ERRO","OK"),"")</f>
        <v/>
      </c>
      <c r="D383" s="27" t="str">
        <f aca="false">IF(COUNTA('Lista de Preços'!$A372:$W372)&gt;0,IF(OR(AND('Lista de Preços'!$L372&lt;&gt;"",NOT(ISNUMBER('Lista de Preços'!$L372))),AND('Lista de Preços'!$M372&lt;&gt;"",NOT(ISNUMBER('Lista de Preços'!$M372)))),"ERRO","OK"),"")</f>
        <v/>
      </c>
      <c r="E383" s="27" t="str">
        <f aca="false">IF(COUNTA('Lista de Preços'!$A372:$W372)&gt;0,IF(AND(ISNUMBER('Lista de Preços'!$L372),ISNUMBER('Lista de Preços'!$M372),'Lista de Preços'!$L372&gt;'Lista de Preços'!$M372),"ERRO","OK"),"")</f>
        <v/>
      </c>
      <c r="F383" s="27" t="str">
        <f aca="true">IF(COUNTA('Lista de Preços'!$A372:$W372)&gt;0,IF(AND('Lista de Preços'!$S372&lt;&gt;"",ISNUMBER('Lista de Preços'!$S372),'Lista de Preços'!$S372&lt;TODAY()),"ERRO","OK"),"")</f>
        <v/>
      </c>
      <c r="G383" s="27" t="str">
        <f aca="false">IF(COUNTA('Lista de Preços'!$A372:$W372)&gt;0,IF(AND('Lista de Preços'!$A372&lt;&gt;"",COUNTIF('Lista de Preços'!$A$4:$A$503,'Lista de Preços'!$A372)&gt;1),"ERRO","OK"),"")</f>
        <v/>
      </c>
      <c r="H383" s="27" t="str">
        <f aca="false">IF(COUNTA('Lista de Preços'!$A372:$W372)&gt;0,IF(AND('Lista de Preços'!$N372&lt;&gt;"",ISNUMBER('Lista de Preços'!$N372),OR('Lista de Preços'!$N372&lt;0,'Lista de Preços'!$N372&gt;0.5)),"ERRO","OK"),"")</f>
        <v/>
      </c>
      <c r="I383" s="27" t="str">
        <f aca="false">IF(COUNTA('Lista de Preços'!$A372:$W372)&gt;0,IF(OR($C383="ERRO",$D383="ERRO",$E383="ERRO",$F383="ERRO",$G383="ERRO",$H383="ERRO"),"FALHA","OK"),"")</f>
        <v/>
      </c>
    </row>
    <row r="384" customFormat="false" ht="15" hidden="false" customHeight="false" outlineLevel="0" collapsed="false">
      <c r="A384" s="26" t="n">
        <f aca="false">'Lista de Preços'!$A373</f>
        <v>0</v>
      </c>
      <c r="B384" s="26" t="n">
        <f aca="false">'Lista de Preços'!$B373</f>
        <v>0</v>
      </c>
      <c r="C384" s="27" t="str">
        <f aca="false">IF(COUNTA('Lista de Preços'!$A373:$W373)&gt;0,IF((COUNTBLANK('Lista de Preços'!$A373)+COUNTBLANK('Lista de Preços'!$B373)+COUNTBLANK('Lista de Preços'!$C373)+COUNTBLANK('Lista de Preços'!$D373)+COUNTBLANK('Lista de Preços'!$E373)+COUNTBLANK('Lista de Preços'!$F373)+COUNTBLANK('Lista de Preços'!$L373)+COUNTBLANK('Lista de Preços'!$M373)+COUNTBLANK('Lista de Preços'!$P373)+COUNTBLANK('Lista de Preços'!$U373)+COUNTBLANK('Lista de Preços'!$V373))&gt;0,"ERRO","OK"),"")</f>
        <v/>
      </c>
      <c r="D384" s="27" t="str">
        <f aca="false">IF(COUNTA('Lista de Preços'!$A373:$W373)&gt;0,IF(OR(AND('Lista de Preços'!$L373&lt;&gt;"",NOT(ISNUMBER('Lista de Preços'!$L373))),AND('Lista de Preços'!$M373&lt;&gt;"",NOT(ISNUMBER('Lista de Preços'!$M373)))),"ERRO","OK"),"")</f>
        <v/>
      </c>
      <c r="E384" s="27" t="str">
        <f aca="false">IF(COUNTA('Lista de Preços'!$A373:$W373)&gt;0,IF(AND(ISNUMBER('Lista de Preços'!$L373),ISNUMBER('Lista de Preços'!$M373),'Lista de Preços'!$L373&gt;'Lista de Preços'!$M373),"ERRO","OK"),"")</f>
        <v/>
      </c>
      <c r="F384" s="27" t="str">
        <f aca="true">IF(COUNTA('Lista de Preços'!$A373:$W373)&gt;0,IF(AND('Lista de Preços'!$S373&lt;&gt;"",ISNUMBER('Lista de Preços'!$S373),'Lista de Preços'!$S373&lt;TODAY()),"ERRO","OK"),"")</f>
        <v/>
      </c>
      <c r="G384" s="27" t="str">
        <f aca="false">IF(COUNTA('Lista de Preços'!$A373:$W373)&gt;0,IF(AND('Lista de Preços'!$A373&lt;&gt;"",COUNTIF('Lista de Preços'!$A$4:$A$503,'Lista de Preços'!$A373)&gt;1),"ERRO","OK"),"")</f>
        <v/>
      </c>
      <c r="H384" s="27" t="str">
        <f aca="false">IF(COUNTA('Lista de Preços'!$A373:$W373)&gt;0,IF(AND('Lista de Preços'!$N373&lt;&gt;"",ISNUMBER('Lista de Preços'!$N373),OR('Lista de Preços'!$N373&lt;0,'Lista de Preços'!$N373&gt;0.5)),"ERRO","OK"),"")</f>
        <v/>
      </c>
      <c r="I384" s="27" t="str">
        <f aca="false">IF(COUNTA('Lista de Preços'!$A373:$W373)&gt;0,IF(OR($C384="ERRO",$D384="ERRO",$E384="ERRO",$F384="ERRO",$G384="ERRO",$H384="ERRO"),"FALHA","OK"),"")</f>
        <v/>
      </c>
    </row>
    <row r="385" customFormat="false" ht="15" hidden="false" customHeight="false" outlineLevel="0" collapsed="false">
      <c r="A385" s="26" t="n">
        <f aca="false">'Lista de Preços'!$A374</f>
        <v>0</v>
      </c>
      <c r="B385" s="26" t="n">
        <f aca="false">'Lista de Preços'!$B374</f>
        <v>0</v>
      </c>
      <c r="C385" s="27" t="str">
        <f aca="false">IF(COUNTA('Lista de Preços'!$A374:$W374)&gt;0,IF((COUNTBLANK('Lista de Preços'!$A374)+COUNTBLANK('Lista de Preços'!$B374)+COUNTBLANK('Lista de Preços'!$C374)+COUNTBLANK('Lista de Preços'!$D374)+COUNTBLANK('Lista de Preços'!$E374)+COUNTBLANK('Lista de Preços'!$F374)+COUNTBLANK('Lista de Preços'!$L374)+COUNTBLANK('Lista de Preços'!$M374)+COUNTBLANK('Lista de Preços'!$P374)+COUNTBLANK('Lista de Preços'!$U374)+COUNTBLANK('Lista de Preços'!$V374))&gt;0,"ERRO","OK"),"")</f>
        <v/>
      </c>
      <c r="D385" s="27" t="str">
        <f aca="false">IF(COUNTA('Lista de Preços'!$A374:$W374)&gt;0,IF(OR(AND('Lista de Preços'!$L374&lt;&gt;"",NOT(ISNUMBER('Lista de Preços'!$L374))),AND('Lista de Preços'!$M374&lt;&gt;"",NOT(ISNUMBER('Lista de Preços'!$M374)))),"ERRO","OK"),"")</f>
        <v/>
      </c>
      <c r="E385" s="27" t="str">
        <f aca="false">IF(COUNTA('Lista de Preços'!$A374:$W374)&gt;0,IF(AND(ISNUMBER('Lista de Preços'!$L374),ISNUMBER('Lista de Preços'!$M374),'Lista de Preços'!$L374&gt;'Lista de Preços'!$M374),"ERRO","OK"),"")</f>
        <v/>
      </c>
      <c r="F385" s="27" t="str">
        <f aca="true">IF(COUNTA('Lista de Preços'!$A374:$W374)&gt;0,IF(AND('Lista de Preços'!$S374&lt;&gt;"",ISNUMBER('Lista de Preços'!$S374),'Lista de Preços'!$S374&lt;TODAY()),"ERRO","OK"),"")</f>
        <v/>
      </c>
      <c r="G385" s="27" t="str">
        <f aca="false">IF(COUNTA('Lista de Preços'!$A374:$W374)&gt;0,IF(AND('Lista de Preços'!$A374&lt;&gt;"",COUNTIF('Lista de Preços'!$A$4:$A$503,'Lista de Preços'!$A374)&gt;1),"ERRO","OK"),"")</f>
        <v/>
      </c>
      <c r="H385" s="27" t="str">
        <f aca="false">IF(COUNTA('Lista de Preços'!$A374:$W374)&gt;0,IF(AND('Lista de Preços'!$N374&lt;&gt;"",ISNUMBER('Lista de Preços'!$N374),OR('Lista de Preços'!$N374&lt;0,'Lista de Preços'!$N374&gt;0.5)),"ERRO","OK"),"")</f>
        <v/>
      </c>
      <c r="I385" s="27" t="str">
        <f aca="false">IF(COUNTA('Lista de Preços'!$A374:$W374)&gt;0,IF(OR($C385="ERRO",$D385="ERRO",$E385="ERRO",$F385="ERRO",$G385="ERRO",$H385="ERRO"),"FALHA","OK"),"")</f>
        <v/>
      </c>
    </row>
    <row r="386" customFormat="false" ht="15" hidden="false" customHeight="false" outlineLevel="0" collapsed="false">
      <c r="A386" s="26" t="n">
        <f aca="false">'Lista de Preços'!$A375</f>
        <v>0</v>
      </c>
      <c r="B386" s="26" t="n">
        <f aca="false">'Lista de Preços'!$B375</f>
        <v>0</v>
      </c>
      <c r="C386" s="27" t="str">
        <f aca="false">IF(COUNTA('Lista de Preços'!$A375:$W375)&gt;0,IF((COUNTBLANK('Lista de Preços'!$A375)+COUNTBLANK('Lista de Preços'!$B375)+COUNTBLANK('Lista de Preços'!$C375)+COUNTBLANK('Lista de Preços'!$D375)+COUNTBLANK('Lista de Preços'!$E375)+COUNTBLANK('Lista de Preços'!$F375)+COUNTBLANK('Lista de Preços'!$L375)+COUNTBLANK('Lista de Preços'!$M375)+COUNTBLANK('Lista de Preços'!$P375)+COUNTBLANK('Lista de Preços'!$U375)+COUNTBLANK('Lista de Preços'!$V375))&gt;0,"ERRO","OK"),"")</f>
        <v/>
      </c>
      <c r="D386" s="27" t="str">
        <f aca="false">IF(COUNTA('Lista de Preços'!$A375:$W375)&gt;0,IF(OR(AND('Lista de Preços'!$L375&lt;&gt;"",NOT(ISNUMBER('Lista de Preços'!$L375))),AND('Lista de Preços'!$M375&lt;&gt;"",NOT(ISNUMBER('Lista de Preços'!$M375)))),"ERRO","OK"),"")</f>
        <v/>
      </c>
      <c r="E386" s="27" t="str">
        <f aca="false">IF(COUNTA('Lista de Preços'!$A375:$W375)&gt;0,IF(AND(ISNUMBER('Lista de Preços'!$L375),ISNUMBER('Lista de Preços'!$M375),'Lista de Preços'!$L375&gt;'Lista de Preços'!$M375),"ERRO","OK"),"")</f>
        <v/>
      </c>
      <c r="F386" s="27" t="str">
        <f aca="true">IF(COUNTA('Lista de Preços'!$A375:$W375)&gt;0,IF(AND('Lista de Preços'!$S375&lt;&gt;"",ISNUMBER('Lista de Preços'!$S375),'Lista de Preços'!$S375&lt;TODAY()),"ERRO","OK"),"")</f>
        <v/>
      </c>
      <c r="G386" s="27" t="str">
        <f aca="false">IF(COUNTA('Lista de Preços'!$A375:$W375)&gt;0,IF(AND('Lista de Preços'!$A375&lt;&gt;"",COUNTIF('Lista de Preços'!$A$4:$A$503,'Lista de Preços'!$A375)&gt;1),"ERRO","OK"),"")</f>
        <v/>
      </c>
      <c r="H386" s="27" t="str">
        <f aca="false">IF(COUNTA('Lista de Preços'!$A375:$W375)&gt;0,IF(AND('Lista de Preços'!$N375&lt;&gt;"",ISNUMBER('Lista de Preços'!$N375),OR('Lista de Preços'!$N375&lt;0,'Lista de Preços'!$N375&gt;0.5)),"ERRO","OK"),"")</f>
        <v/>
      </c>
      <c r="I386" s="27" t="str">
        <f aca="false">IF(COUNTA('Lista de Preços'!$A375:$W375)&gt;0,IF(OR($C386="ERRO",$D386="ERRO",$E386="ERRO",$F386="ERRO",$G386="ERRO",$H386="ERRO"),"FALHA","OK"),"")</f>
        <v/>
      </c>
    </row>
    <row r="387" customFormat="false" ht="15" hidden="false" customHeight="false" outlineLevel="0" collapsed="false">
      <c r="A387" s="26" t="n">
        <f aca="false">'Lista de Preços'!$A376</f>
        <v>0</v>
      </c>
      <c r="B387" s="26" t="n">
        <f aca="false">'Lista de Preços'!$B376</f>
        <v>0</v>
      </c>
      <c r="C387" s="27" t="str">
        <f aca="false">IF(COUNTA('Lista de Preços'!$A376:$W376)&gt;0,IF((COUNTBLANK('Lista de Preços'!$A376)+COUNTBLANK('Lista de Preços'!$B376)+COUNTBLANK('Lista de Preços'!$C376)+COUNTBLANK('Lista de Preços'!$D376)+COUNTBLANK('Lista de Preços'!$E376)+COUNTBLANK('Lista de Preços'!$F376)+COUNTBLANK('Lista de Preços'!$L376)+COUNTBLANK('Lista de Preços'!$M376)+COUNTBLANK('Lista de Preços'!$P376)+COUNTBLANK('Lista de Preços'!$U376)+COUNTBLANK('Lista de Preços'!$V376))&gt;0,"ERRO","OK"),"")</f>
        <v/>
      </c>
      <c r="D387" s="27" t="str">
        <f aca="false">IF(COUNTA('Lista de Preços'!$A376:$W376)&gt;0,IF(OR(AND('Lista de Preços'!$L376&lt;&gt;"",NOT(ISNUMBER('Lista de Preços'!$L376))),AND('Lista de Preços'!$M376&lt;&gt;"",NOT(ISNUMBER('Lista de Preços'!$M376)))),"ERRO","OK"),"")</f>
        <v/>
      </c>
      <c r="E387" s="27" t="str">
        <f aca="false">IF(COUNTA('Lista de Preços'!$A376:$W376)&gt;0,IF(AND(ISNUMBER('Lista de Preços'!$L376),ISNUMBER('Lista de Preços'!$M376),'Lista de Preços'!$L376&gt;'Lista de Preços'!$M376),"ERRO","OK"),"")</f>
        <v/>
      </c>
      <c r="F387" s="27" t="str">
        <f aca="true">IF(COUNTA('Lista de Preços'!$A376:$W376)&gt;0,IF(AND('Lista de Preços'!$S376&lt;&gt;"",ISNUMBER('Lista de Preços'!$S376),'Lista de Preços'!$S376&lt;TODAY()),"ERRO","OK"),"")</f>
        <v/>
      </c>
      <c r="G387" s="27" t="str">
        <f aca="false">IF(COUNTA('Lista de Preços'!$A376:$W376)&gt;0,IF(AND('Lista de Preços'!$A376&lt;&gt;"",COUNTIF('Lista de Preços'!$A$4:$A$503,'Lista de Preços'!$A376)&gt;1),"ERRO","OK"),"")</f>
        <v/>
      </c>
      <c r="H387" s="27" t="str">
        <f aca="false">IF(COUNTA('Lista de Preços'!$A376:$W376)&gt;0,IF(AND('Lista de Preços'!$N376&lt;&gt;"",ISNUMBER('Lista de Preços'!$N376),OR('Lista de Preços'!$N376&lt;0,'Lista de Preços'!$N376&gt;0.5)),"ERRO","OK"),"")</f>
        <v/>
      </c>
      <c r="I387" s="27" t="str">
        <f aca="false">IF(COUNTA('Lista de Preços'!$A376:$W376)&gt;0,IF(OR($C387="ERRO",$D387="ERRO",$E387="ERRO",$F387="ERRO",$G387="ERRO",$H387="ERRO"),"FALHA","OK"),"")</f>
        <v/>
      </c>
    </row>
    <row r="388" customFormat="false" ht="15" hidden="false" customHeight="false" outlineLevel="0" collapsed="false">
      <c r="A388" s="26" t="n">
        <f aca="false">'Lista de Preços'!$A377</f>
        <v>0</v>
      </c>
      <c r="B388" s="26" t="n">
        <f aca="false">'Lista de Preços'!$B377</f>
        <v>0</v>
      </c>
      <c r="C388" s="27" t="str">
        <f aca="false">IF(COUNTA('Lista de Preços'!$A377:$W377)&gt;0,IF((COUNTBLANK('Lista de Preços'!$A377)+COUNTBLANK('Lista de Preços'!$B377)+COUNTBLANK('Lista de Preços'!$C377)+COUNTBLANK('Lista de Preços'!$D377)+COUNTBLANK('Lista de Preços'!$E377)+COUNTBLANK('Lista de Preços'!$F377)+COUNTBLANK('Lista de Preços'!$L377)+COUNTBLANK('Lista de Preços'!$M377)+COUNTBLANK('Lista de Preços'!$P377)+COUNTBLANK('Lista de Preços'!$U377)+COUNTBLANK('Lista de Preços'!$V377))&gt;0,"ERRO","OK"),"")</f>
        <v/>
      </c>
      <c r="D388" s="27" t="str">
        <f aca="false">IF(COUNTA('Lista de Preços'!$A377:$W377)&gt;0,IF(OR(AND('Lista de Preços'!$L377&lt;&gt;"",NOT(ISNUMBER('Lista de Preços'!$L377))),AND('Lista de Preços'!$M377&lt;&gt;"",NOT(ISNUMBER('Lista de Preços'!$M377)))),"ERRO","OK"),"")</f>
        <v/>
      </c>
      <c r="E388" s="27" t="str">
        <f aca="false">IF(COUNTA('Lista de Preços'!$A377:$W377)&gt;0,IF(AND(ISNUMBER('Lista de Preços'!$L377),ISNUMBER('Lista de Preços'!$M377),'Lista de Preços'!$L377&gt;'Lista de Preços'!$M377),"ERRO","OK"),"")</f>
        <v/>
      </c>
      <c r="F388" s="27" t="str">
        <f aca="true">IF(COUNTA('Lista de Preços'!$A377:$W377)&gt;0,IF(AND('Lista de Preços'!$S377&lt;&gt;"",ISNUMBER('Lista de Preços'!$S377),'Lista de Preços'!$S377&lt;TODAY()),"ERRO","OK"),"")</f>
        <v/>
      </c>
      <c r="G388" s="27" t="str">
        <f aca="false">IF(COUNTA('Lista de Preços'!$A377:$W377)&gt;0,IF(AND('Lista de Preços'!$A377&lt;&gt;"",COUNTIF('Lista de Preços'!$A$4:$A$503,'Lista de Preços'!$A377)&gt;1),"ERRO","OK"),"")</f>
        <v/>
      </c>
      <c r="H388" s="27" t="str">
        <f aca="false">IF(COUNTA('Lista de Preços'!$A377:$W377)&gt;0,IF(AND('Lista de Preços'!$N377&lt;&gt;"",ISNUMBER('Lista de Preços'!$N377),OR('Lista de Preços'!$N377&lt;0,'Lista de Preços'!$N377&gt;0.5)),"ERRO","OK"),"")</f>
        <v/>
      </c>
      <c r="I388" s="27" t="str">
        <f aca="false">IF(COUNTA('Lista de Preços'!$A377:$W377)&gt;0,IF(OR($C388="ERRO",$D388="ERRO",$E388="ERRO",$F388="ERRO",$G388="ERRO",$H388="ERRO"),"FALHA","OK"),"")</f>
        <v/>
      </c>
    </row>
    <row r="389" customFormat="false" ht="15" hidden="false" customHeight="false" outlineLevel="0" collapsed="false">
      <c r="A389" s="26" t="n">
        <f aca="false">'Lista de Preços'!$A378</f>
        <v>0</v>
      </c>
      <c r="B389" s="26" t="n">
        <f aca="false">'Lista de Preços'!$B378</f>
        <v>0</v>
      </c>
      <c r="C389" s="27" t="str">
        <f aca="false">IF(COUNTA('Lista de Preços'!$A378:$W378)&gt;0,IF((COUNTBLANK('Lista de Preços'!$A378)+COUNTBLANK('Lista de Preços'!$B378)+COUNTBLANK('Lista de Preços'!$C378)+COUNTBLANK('Lista de Preços'!$D378)+COUNTBLANK('Lista de Preços'!$E378)+COUNTBLANK('Lista de Preços'!$F378)+COUNTBLANK('Lista de Preços'!$L378)+COUNTBLANK('Lista de Preços'!$M378)+COUNTBLANK('Lista de Preços'!$P378)+COUNTBLANK('Lista de Preços'!$U378)+COUNTBLANK('Lista de Preços'!$V378))&gt;0,"ERRO","OK"),"")</f>
        <v/>
      </c>
      <c r="D389" s="27" t="str">
        <f aca="false">IF(COUNTA('Lista de Preços'!$A378:$W378)&gt;0,IF(OR(AND('Lista de Preços'!$L378&lt;&gt;"",NOT(ISNUMBER('Lista de Preços'!$L378))),AND('Lista de Preços'!$M378&lt;&gt;"",NOT(ISNUMBER('Lista de Preços'!$M378)))),"ERRO","OK"),"")</f>
        <v/>
      </c>
      <c r="E389" s="27" t="str">
        <f aca="false">IF(COUNTA('Lista de Preços'!$A378:$W378)&gt;0,IF(AND(ISNUMBER('Lista de Preços'!$L378),ISNUMBER('Lista de Preços'!$M378),'Lista de Preços'!$L378&gt;'Lista de Preços'!$M378),"ERRO","OK"),"")</f>
        <v/>
      </c>
      <c r="F389" s="27" t="str">
        <f aca="true">IF(COUNTA('Lista de Preços'!$A378:$W378)&gt;0,IF(AND('Lista de Preços'!$S378&lt;&gt;"",ISNUMBER('Lista de Preços'!$S378),'Lista de Preços'!$S378&lt;TODAY()),"ERRO","OK"),"")</f>
        <v/>
      </c>
      <c r="G389" s="27" t="str">
        <f aca="false">IF(COUNTA('Lista de Preços'!$A378:$W378)&gt;0,IF(AND('Lista de Preços'!$A378&lt;&gt;"",COUNTIF('Lista de Preços'!$A$4:$A$503,'Lista de Preços'!$A378)&gt;1),"ERRO","OK"),"")</f>
        <v/>
      </c>
      <c r="H389" s="27" t="str">
        <f aca="false">IF(COUNTA('Lista de Preços'!$A378:$W378)&gt;0,IF(AND('Lista de Preços'!$N378&lt;&gt;"",ISNUMBER('Lista de Preços'!$N378),OR('Lista de Preços'!$N378&lt;0,'Lista de Preços'!$N378&gt;0.5)),"ERRO","OK"),"")</f>
        <v/>
      </c>
      <c r="I389" s="27" t="str">
        <f aca="false">IF(COUNTA('Lista de Preços'!$A378:$W378)&gt;0,IF(OR($C389="ERRO",$D389="ERRO",$E389="ERRO",$F389="ERRO",$G389="ERRO",$H389="ERRO"),"FALHA","OK"),"")</f>
        <v/>
      </c>
    </row>
    <row r="390" customFormat="false" ht="15" hidden="false" customHeight="false" outlineLevel="0" collapsed="false">
      <c r="A390" s="26" t="n">
        <f aca="false">'Lista de Preços'!$A379</f>
        <v>0</v>
      </c>
      <c r="B390" s="26" t="n">
        <f aca="false">'Lista de Preços'!$B379</f>
        <v>0</v>
      </c>
      <c r="C390" s="27" t="str">
        <f aca="false">IF(COUNTA('Lista de Preços'!$A379:$W379)&gt;0,IF((COUNTBLANK('Lista de Preços'!$A379)+COUNTBLANK('Lista de Preços'!$B379)+COUNTBLANK('Lista de Preços'!$C379)+COUNTBLANK('Lista de Preços'!$D379)+COUNTBLANK('Lista de Preços'!$E379)+COUNTBLANK('Lista de Preços'!$F379)+COUNTBLANK('Lista de Preços'!$L379)+COUNTBLANK('Lista de Preços'!$M379)+COUNTBLANK('Lista de Preços'!$P379)+COUNTBLANK('Lista de Preços'!$U379)+COUNTBLANK('Lista de Preços'!$V379))&gt;0,"ERRO","OK"),"")</f>
        <v/>
      </c>
      <c r="D390" s="27" t="str">
        <f aca="false">IF(COUNTA('Lista de Preços'!$A379:$W379)&gt;0,IF(OR(AND('Lista de Preços'!$L379&lt;&gt;"",NOT(ISNUMBER('Lista de Preços'!$L379))),AND('Lista de Preços'!$M379&lt;&gt;"",NOT(ISNUMBER('Lista de Preços'!$M379)))),"ERRO","OK"),"")</f>
        <v/>
      </c>
      <c r="E390" s="27" t="str">
        <f aca="false">IF(COUNTA('Lista de Preços'!$A379:$W379)&gt;0,IF(AND(ISNUMBER('Lista de Preços'!$L379),ISNUMBER('Lista de Preços'!$M379),'Lista de Preços'!$L379&gt;'Lista de Preços'!$M379),"ERRO","OK"),"")</f>
        <v/>
      </c>
      <c r="F390" s="27" t="str">
        <f aca="true">IF(COUNTA('Lista de Preços'!$A379:$W379)&gt;0,IF(AND('Lista de Preços'!$S379&lt;&gt;"",ISNUMBER('Lista de Preços'!$S379),'Lista de Preços'!$S379&lt;TODAY()),"ERRO","OK"),"")</f>
        <v/>
      </c>
      <c r="G390" s="27" t="str">
        <f aca="false">IF(COUNTA('Lista de Preços'!$A379:$W379)&gt;0,IF(AND('Lista de Preços'!$A379&lt;&gt;"",COUNTIF('Lista de Preços'!$A$4:$A$503,'Lista de Preços'!$A379)&gt;1),"ERRO","OK"),"")</f>
        <v/>
      </c>
      <c r="H390" s="27" t="str">
        <f aca="false">IF(COUNTA('Lista de Preços'!$A379:$W379)&gt;0,IF(AND('Lista de Preços'!$N379&lt;&gt;"",ISNUMBER('Lista de Preços'!$N379),OR('Lista de Preços'!$N379&lt;0,'Lista de Preços'!$N379&gt;0.5)),"ERRO","OK"),"")</f>
        <v/>
      </c>
      <c r="I390" s="27" t="str">
        <f aca="false">IF(COUNTA('Lista de Preços'!$A379:$W379)&gt;0,IF(OR($C390="ERRO",$D390="ERRO",$E390="ERRO",$F390="ERRO",$G390="ERRO",$H390="ERRO"),"FALHA","OK"),"")</f>
        <v/>
      </c>
    </row>
    <row r="391" customFormat="false" ht="15" hidden="false" customHeight="false" outlineLevel="0" collapsed="false">
      <c r="A391" s="26" t="n">
        <f aca="false">'Lista de Preços'!$A380</f>
        <v>0</v>
      </c>
      <c r="B391" s="26" t="n">
        <f aca="false">'Lista de Preços'!$B380</f>
        <v>0</v>
      </c>
      <c r="C391" s="27" t="str">
        <f aca="false">IF(COUNTA('Lista de Preços'!$A380:$W380)&gt;0,IF((COUNTBLANK('Lista de Preços'!$A380)+COUNTBLANK('Lista de Preços'!$B380)+COUNTBLANK('Lista de Preços'!$C380)+COUNTBLANK('Lista de Preços'!$D380)+COUNTBLANK('Lista de Preços'!$E380)+COUNTBLANK('Lista de Preços'!$F380)+COUNTBLANK('Lista de Preços'!$L380)+COUNTBLANK('Lista de Preços'!$M380)+COUNTBLANK('Lista de Preços'!$P380)+COUNTBLANK('Lista de Preços'!$U380)+COUNTBLANK('Lista de Preços'!$V380))&gt;0,"ERRO","OK"),"")</f>
        <v/>
      </c>
      <c r="D391" s="27" t="str">
        <f aca="false">IF(COUNTA('Lista de Preços'!$A380:$W380)&gt;0,IF(OR(AND('Lista de Preços'!$L380&lt;&gt;"",NOT(ISNUMBER('Lista de Preços'!$L380))),AND('Lista de Preços'!$M380&lt;&gt;"",NOT(ISNUMBER('Lista de Preços'!$M380)))),"ERRO","OK"),"")</f>
        <v/>
      </c>
      <c r="E391" s="27" t="str">
        <f aca="false">IF(COUNTA('Lista de Preços'!$A380:$W380)&gt;0,IF(AND(ISNUMBER('Lista de Preços'!$L380),ISNUMBER('Lista de Preços'!$M380),'Lista de Preços'!$L380&gt;'Lista de Preços'!$M380),"ERRO","OK"),"")</f>
        <v/>
      </c>
      <c r="F391" s="27" t="str">
        <f aca="true">IF(COUNTA('Lista de Preços'!$A380:$W380)&gt;0,IF(AND('Lista de Preços'!$S380&lt;&gt;"",ISNUMBER('Lista de Preços'!$S380),'Lista de Preços'!$S380&lt;TODAY()),"ERRO","OK"),"")</f>
        <v/>
      </c>
      <c r="G391" s="27" t="str">
        <f aca="false">IF(COUNTA('Lista de Preços'!$A380:$W380)&gt;0,IF(AND('Lista de Preços'!$A380&lt;&gt;"",COUNTIF('Lista de Preços'!$A$4:$A$503,'Lista de Preços'!$A380)&gt;1),"ERRO","OK"),"")</f>
        <v/>
      </c>
      <c r="H391" s="27" t="str">
        <f aca="false">IF(COUNTA('Lista de Preços'!$A380:$W380)&gt;0,IF(AND('Lista de Preços'!$N380&lt;&gt;"",ISNUMBER('Lista de Preços'!$N380),OR('Lista de Preços'!$N380&lt;0,'Lista de Preços'!$N380&gt;0.5)),"ERRO","OK"),"")</f>
        <v/>
      </c>
      <c r="I391" s="27" t="str">
        <f aca="false">IF(COUNTA('Lista de Preços'!$A380:$W380)&gt;0,IF(OR($C391="ERRO",$D391="ERRO",$E391="ERRO",$F391="ERRO",$G391="ERRO",$H391="ERRO"),"FALHA","OK"),"")</f>
        <v/>
      </c>
    </row>
    <row r="392" customFormat="false" ht="15" hidden="false" customHeight="false" outlineLevel="0" collapsed="false">
      <c r="A392" s="26" t="n">
        <f aca="false">'Lista de Preços'!$A381</f>
        <v>0</v>
      </c>
      <c r="B392" s="26" t="n">
        <f aca="false">'Lista de Preços'!$B381</f>
        <v>0</v>
      </c>
      <c r="C392" s="27" t="str">
        <f aca="false">IF(COUNTA('Lista de Preços'!$A381:$W381)&gt;0,IF((COUNTBLANK('Lista de Preços'!$A381)+COUNTBLANK('Lista de Preços'!$B381)+COUNTBLANK('Lista de Preços'!$C381)+COUNTBLANK('Lista de Preços'!$D381)+COUNTBLANK('Lista de Preços'!$E381)+COUNTBLANK('Lista de Preços'!$F381)+COUNTBLANK('Lista de Preços'!$L381)+COUNTBLANK('Lista de Preços'!$M381)+COUNTBLANK('Lista de Preços'!$P381)+COUNTBLANK('Lista de Preços'!$U381)+COUNTBLANK('Lista de Preços'!$V381))&gt;0,"ERRO","OK"),"")</f>
        <v/>
      </c>
      <c r="D392" s="27" t="str">
        <f aca="false">IF(COUNTA('Lista de Preços'!$A381:$W381)&gt;0,IF(OR(AND('Lista de Preços'!$L381&lt;&gt;"",NOT(ISNUMBER('Lista de Preços'!$L381))),AND('Lista de Preços'!$M381&lt;&gt;"",NOT(ISNUMBER('Lista de Preços'!$M381)))),"ERRO","OK"),"")</f>
        <v/>
      </c>
      <c r="E392" s="27" t="str">
        <f aca="false">IF(COUNTA('Lista de Preços'!$A381:$W381)&gt;0,IF(AND(ISNUMBER('Lista de Preços'!$L381),ISNUMBER('Lista de Preços'!$M381),'Lista de Preços'!$L381&gt;'Lista de Preços'!$M381),"ERRO","OK"),"")</f>
        <v/>
      </c>
      <c r="F392" s="27" t="str">
        <f aca="true">IF(COUNTA('Lista de Preços'!$A381:$W381)&gt;0,IF(AND('Lista de Preços'!$S381&lt;&gt;"",ISNUMBER('Lista de Preços'!$S381),'Lista de Preços'!$S381&lt;TODAY()),"ERRO","OK"),"")</f>
        <v/>
      </c>
      <c r="G392" s="27" t="str">
        <f aca="false">IF(COUNTA('Lista de Preços'!$A381:$W381)&gt;0,IF(AND('Lista de Preços'!$A381&lt;&gt;"",COUNTIF('Lista de Preços'!$A$4:$A$503,'Lista de Preços'!$A381)&gt;1),"ERRO","OK"),"")</f>
        <v/>
      </c>
      <c r="H392" s="27" t="str">
        <f aca="false">IF(COUNTA('Lista de Preços'!$A381:$W381)&gt;0,IF(AND('Lista de Preços'!$N381&lt;&gt;"",ISNUMBER('Lista de Preços'!$N381),OR('Lista de Preços'!$N381&lt;0,'Lista de Preços'!$N381&gt;0.5)),"ERRO","OK"),"")</f>
        <v/>
      </c>
      <c r="I392" s="27" t="str">
        <f aca="false">IF(COUNTA('Lista de Preços'!$A381:$W381)&gt;0,IF(OR($C392="ERRO",$D392="ERRO",$E392="ERRO",$F392="ERRO",$G392="ERRO",$H392="ERRO"),"FALHA","OK"),"")</f>
        <v/>
      </c>
    </row>
    <row r="393" customFormat="false" ht="15" hidden="false" customHeight="false" outlineLevel="0" collapsed="false">
      <c r="A393" s="26" t="n">
        <f aca="false">'Lista de Preços'!$A382</f>
        <v>0</v>
      </c>
      <c r="B393" s="26" t="n">
        <f aca="false">'Lista de Preços'!$B382</f>
        <v>0</v>
      </c>
      <c r="C393" s="27" t="str">
        <f aca="false">IF(COUNTA('Lista de Preços'!$A382:$W382)&gt;0,IF((COUNTBLANK('Lista de Preços'!$A382)+COUNTBLANK('Lista de Preços'!$B382)+COUNTBLANK('Lista de Preços'!$C382)+COUNTBLANK('Lista de Preços'!$D382)+COUNTBLANK('Lista de Preços'!$E382)+COUNTBLANK('Lista de Preços'!$F382)+COUNTBLANK('Lista de Preços'!$L382)+COUNTBLANK('Lista de Preços'!$M382)+COUNTBLANK('Lista de Preços'!$P382)+COUNTBLANK('Lista de Preços'!$U382)+COUNTBLANK('Lista de Preços'!$V382))&gt;0,"ERRO","OK"),"")</f>
        <v/>
      </c>
      <c r="D393" s="27" t="str">
        <f aca="false">IF(COUNTA('Lista de Preços'!$A382:$W382)&gt;0,IF(OR(AND('Lista de Preços'!$L382&lt;&gt;"",NOT(ISNUMBER('Lista de Preços'!$L382))),AND('Lista de Preços'!$M382&lt;&gt;"",NOT(ISNUMBER('Lista de Preços'!$M382)))),"ERRO","OK"),"")</f>
        <v/>
      </c>
      <c r="E393" s="27" t="str">
        <f aca="false">IF(COUNTA('Lista de Preços'!$A382:$W382)&gt;0,IF(AND(ISNUMBER('Lista de Preços'!$L382),ISNUMBER('Lista de Preços'!$M382),'Lista de Preços'!$L382&gt;'Lista de Preços'!$M382),"ERRO","OK"),"")</f>
        <v/>
      </c>
      <c r="F393" s="27" t="str">
        <f aca="true">IF(COUNTA('Lista de Preços'!$A382:$W382)&gt;0,IF(AND('Lista de Preços'!$S382&lt;&gt;"",ISNUMBER('Lista de Preços'!$S382),'Lista de Preços'!$S382&lt;TODAY()),"ERRO","OK"),"")</f>
        <v/>
      </c>
      <c r="G393" s="27" t="str">
        <f aca="false">IF(COUNTA('Lista de Preços'!$A382:$W382)&gt;0,IF(AND('Lista de Preços'!$A382&lt;&gt;"",COUNTIF('Lista de Preços'!$A$4:$A$503,'Lista de Preços'!$A382)&gt;1),"ERRO","OK"),"")</f>
        <v/>
      </c>
      <c r="H393" s="27" t="str">
        <f aca="false">IF(COUNTA('Lista de Preços'!$A382:$W382)&gt;0,IF(AND('Lista de Preços'!$N382&lt;&gt;"",ISNUMBER('Lista de Preços'!$N382),OR('Lista de Preços'!$N382&lt;0,'Lista de Preços'!$N382&gt;0.5)),"ERRO","OK"),"")</f>
        <v/>
      </c>
      <c r="I393" s="27" t="str">
        <f aca="false">IF(COUNTA('Lista de Preços'!$A382:$W382)&gt;0,IF(OR($C393="ERRO",$D393="ERRO",$E393="ERRO",$F393="ERRO",$G393="ERRO",$H393="ERRO"),"FALHA","OK"),"")</f>
        <v/>
      </c>
    </row>
    <row r="394" customFormat="false" ht="15" hidden="false" customHeight="false" outlineLevel="0" collapsed="false">
      <c r="A394" s="26" t="n">
        <f aca="false">'Lista de Preços'!$A383</f>
        <v>0</v>
      </c>
      <c r="B394" s="26" t="n">
        <f aca="false">'Lista de Preços'!$B383</f>
        <v>0</v>
      </c>
      <c r="C394" s="27" t="str">
        <f aca="false">IF(COUNTA('Lista de Preços'!$A383:$W383)&gt;0,IF((COUNTBLANK('Lista de Preços'!$A383)+COUNTBLANK('Lista de Preços'!$B383)+COUNTBLANK('Lista de Preços'!$C383)+COUNTBLANK('Lista de Preços'!$D383)+COUNTBLANK('Lista de Preços'!$E383)+COUNTBLANK('Lista de Preços'!$F383)+COUNTBLANK('Lista de Preços'!$L383)+COUNTBLANK('Lista de Preços'!$M383)+COUNTBLANK('Lista de Preços'!$P383)+COUNTBLANK('Lista de Preços'!$U383)+COUNTBLANK('Lista de Preços'!$V383))&gt;0,"ERRO","OK"),"")</f>
        <v/>
      </c>
      <c r="D394" s="27" t="str">
        <f aca="false">IF(COUNTA('Lista de Preços'!$A383:$W383)&gt;0,IF(OR(AND('Lista de Preços'!$L383&lt;&gt;"",NOT(ISNUMBER('Lista de Preços'!$L383))),AND('Lista de Preços'!$M383&lt;&gt;"",NOT(ISNUMBER('Lista de Preços'!$M383)))),"ERRO","OK"),"")</f>
        <v/>
      </c>
      <c r="E394" s="27" t="str">
        <f aca="false">IF(COUNTA('Lista de Preços'!$A383:$W383)&gt;0,IF(AND(ISNUMBER('Lista de Preços'!$L383),ISNUMBER('Lista de Preços'!$M383),'Lista de Preços'!$L383&gt;'Lista de Preços'!$M383),"ERRO","OK"),"")</f>
        <v/>
      </c>
      <c r="F394" s="27" t="str">
        <f aca="true">IF(COUNTA('Lista de Preços'!$A383:$W383)&gt;0,IF(AND('Lista de Preços'!$S383&lt;&gt;"",ISNUMBER('Lista de Preços'!$S383),'Lista de Preços'!$S383&lt;TODAY()),"ERRO","OK"),"")</f>
        <v/>
      </c>
      <c r="G394" s="27" t="str">
        <f aca="false">IF(COUNTA('Lista de Preços'!$A383:$W383)&gt;0,IF(AND('Lista de Preços'!$A383&lt;&gt;"",COUNTIF('Lista de Preços'!$A$4:$A$503,'Lista de Preços'!$A383)&gt;1),"ERRO","OK"),"")</f>
        <v/>
      </c>
      <c r="H394" s="27" t="str">
        <f aca="false">IF(COUNTA('Lista de Preços'!$A383:$W383)&gt;0,IF(AND('Lista de Preços'!$N383&lt;&gt;"",ISNUMBER('Lista de Preços'!$N383),OR('Lista de Preços'!$N383&lt;0,'Lista de Preços'!$N383&gt;0.5)),"ERRO","OK"),"")</f>
        <v/>
      </c>
      <c r="I394" s="27" t="str">
        <f aca="false">IF(COUNTA('Lista de Preços'!$A383:$W383)&gt;0,IF(OR($C394="ERRO",$D394="ERRO",$E394="ERRO",$F394="ERRO",$G394="ERRO",$H394="ERRO"),"FALHA","OK"),"")</f>
        <v/>
      </c>
    </row>
    <row r="395" customFormat="false" ht="15" hidden="false" customHeight="false" outlineLevel="0" collapsed="false">
      <c r="A395" s="26" t="n">
        <f aca="false">'Lista de Preços'!$A384</f>
        <v>0</v>
      </c>
      <c r="B395" s="26" t="n">
        <f aca="false">'Lista de Preços'!$B384</f>
        <v>0</v>
      </c>
      <c r="C395" s="27" t="str">
        <f aca="false">IF(COUNTA('Lista de Preços'!$A384:$W384)&gt;0,IF((COUNTBLANK('Lista de Preços'!$A384)+COUNTBLANK('Lista de Preços'!$B384)+COUNTBLANK('Lista de Preços'!$C384)+COUNTBLANK('Lista de Preços'!$D384)+COUNTBLANK('Lista de Preços'!$E384)+COUNTBLANK('Lista de Preços'!$F384)+COUNTBLANK('Lista de Preços'!$L384)+COUNTBLANK('Lista de Preços'!$M384)+COUNTBLANK('Lista de Preços'!$P384)+COUNTBLANK('Lista de Preços'!$U384)+COUNTBLANK('Lista de Preços'!$V384))&gt;0,"ERRO","OK"),"")</f>
        <v/>
      </c>
      <c r="D395" s="27" t="str">
        <f aca="false">IF(COUNTA('Lista de Preços'!$A384:$W384)&gt;0,IF(OR(AND('Lista de Preços'!$L384&lt;&gt;"",NOT(ISNUMBER('Lista de Preços'!$L384))),AND('Lista de Preços'!$M384&lt;&gt;"",NOT(ISNUMBER('Lista de Preços'!$M384)))),"ERRO","OK"),"")</f>
        <v/>
      </c>
      <c r="E395" s="27" t="str">
        <f aca="false">IF(COUNTA('Lista de Preços'!$A384:$W384)&gt;0,IF(AND(ISNUMBER('Lista de Preços'!$L384),ISNUMBER('Lista de Preços'!$M384),'Lista de Preços'!$L384&gt;'Lista de Preços'!$M384),"ERRO","OK"),"")</f>
        <v/>
      </c>
      <c r="F395" s="27" t="str">
        <f aca="true">IF(COUNTA('Lista de Preços'!$A384:$W384)&gt;0,IF(AND('Lista de Preços'!$S384&lt;&gt;"",ISNUMBER('Lista de Preços'!$S384),'Lista de Preços'!$S384&lt;TODAY()),"ERRO","OK"),"")</f>
        <v/>
      </c>
      <c r="G395" s="27" t="str">
        <f aca="false">IF(COUNTA('Lista de Preços'!$A384:$W384)&gt;0,IF(AND('Lista de Preços'!$A384&lt;&gt;"",COUNTIF('Lista de Preços'!$A$4:$A$503,'Lista de Preços'!$A384)&gt;1),"ERRO","OK"),"")</f>
        <v/>
      </c>
      <c r="H395" s="27" t="str">
        <f aca="false">IF(COUNTA('Lista de Preços'!$A384:$W384)&gt;0,IF(AND('Lista de Preços'!$N384&lt;&gt;"",ISNUMBER('Lista de Preços'!$N384),OR('Lista de Preços'!$N384&lt;0,'Lista de Preços'!$N384&gt;0.5)),"ERRO","OK"),"")</f>
        <v/>
      </c>
      <c r="I395" s="27" t="str">
        <f aca="false">IF(COUNTA('Lista de Preços'!$A384:$W384)&gt;0,IF(OR($C395="ERRO",$D395="ERRO",$E395="ERRO",$F395="ERRO",$G395="ERRO",$H395="ERRO"),"FALHA","OK"),"")</f>
        <v/>
      </c>
    </row>
    <row r="396" customFormat="false" ht="15" hidden="false" customHeight="false" outlineLevel="0" collapsed="false">
      <c r="A396" s="26" t="n">
        <f aca="false">'Lista de Preços'!$A385</f>
        <v>0</v>
      </c>
      <c r="B396" s="26" t="n">
        <f aca="false">'Lista de Preços'!$B385</f>
        <v>0</v>
      </c>
      <c r="C396" s="27" t="str">
        <f aca="false">IF(COUNTA('Lista de Preços'!$A385:$W385)&gt;0,IF((COUNTBLANK('Lista de Preços'!$A385)+COUNTBLANK('Lista de Preços'!$B385)+COUNTBLANK('Lista de Preços'!$C385)+COUNTBLANK('Lista de Preços'!$D385)+COUNTBLANK('Lista de Preços'!$E385)+COUNTBLANK('Lista de Preços'!$F385)+COUNTBLANK('Lista de Preços'!$L385)+COUNTBLANK('Lista de Preços'!$M385)+COUNTBLANK('Lista de Preços'!$P385)+COUNTBLANK('Lista de Preços'!$U385)+COUNTBLANK('Lista de Preços'!$V385))&gt;0,"ERRO","OK"),"")</f>
        <v/>
      </c>
      <c r="D396" s="27" t="str">
        <f aca="false">IF(COUNTA('Lista de Preços'!$A385:$W385)&gt;0,IF(OR(AND('Lista de Preços'!$L385&lt;&gt;"",NOT(ISNUMBER('Lista de Preços'!$L385))),AND('Lista de Preços'!$M385&lt;&gt;"",NOT(ISNUMBER('Lista de Preços'!$M385)))),"ERRO","OK"),"")</f>
        <v/>
      </c>
      <c r="E396" s="27" t="str">
        <f aca="false">IF(COUNTA('Lista de Preços'!$A385:$W385)&gt;0,IF(AND(ISNUMBER('Lista de Preços'!$L385),ISNUMBER('Lista de Preços'!$M385),'Lista de Preços'!$L385&gt;'Lista de Preços'!$M385),"ERRO","OK"),"")</f>
        <v/>
      </c>
      <c r="F396" s="27" t="str">
        <f aca="true">IF(COUNTA('Lista de Preços'!$A385:$W385)&gt;0,IF(AND('Lista de Preços'!$S385&lt;&gt;"",ISNUMBER('Lista de Preços'!$S385),'Lista de Preços'!$S385&lt;TODAY()),"ERRO","OK"),"")</f>
        <v/>
      </c>
      <c r="G396" s="27" t="str">
        <f aca="false">IF(COUNTA('Lista de Preços'!$A385:$W385)&gt;0,IF(AND('Lista de Preços'!$A385&lt;&gt;"",COUNTIF('Lista de Preços'!$A$4:$A$503,'Lista de Preços'!$A385)&gt;1),"ERRO","OK"),"")</f>
        <v/>
      </c>
      <c r="H396" s="27" t="str">
        <f aca="false">IF(COUNTA('Lista de Preços'!$A385:$W385)&gt;0,IF(AND('Lista de Preços'!$N385&lt;&gt;"",ISNUMBER('Lista de Preços'!$N385),OR('Lista de Preços'!$N385&lt;0,'Lista de Preços'!$N385&gt;0.5)),"ERRO","OK"),"")</f>
        <v/>
      </c>
      <c r="I396" s="27" t="str">
        <f aca="false">IF(COUNTA('Lista de Preços'!$A385:$W385)&gt;0,IF(OR($C396="ERRO",$D396="ERRO",$E396="ERRO",$F396="ERRO",$G396="ERRO",$H396="ERRO"),"FALHA","OK"),"")</f>
        <v/>
      </c>
    </row>
    <row r="397" customFormat="false" ht="15" hidden="false" customHeight="false" outlineLevel="0" collapsed="false">
      <c r="A397" s="26" t="n">
        <f aca="false">'Lista de Preços'!$A386</f>
        <v>0</v>
      </c>
      <c r="B397" s="26" t="n">
        <f aca="false">'Lista de Preços'!$B386</f>
        <v>0</v>
      </c>
      <c r="C397" s="27" t="str">
        <f aca="false">IF(COUNTA('Lista de Preços'!$A386:$W386)&gt;0,IF((COUNTBLANK('Lista de Preços'!$A386)+COUNTBLANK('Lista de Preços'!$B386)+COUNTBLANK('Lista de Preços'!$C386)+COUNTBLANK('Lista de Preços'!$D386)+COUNTBLANK('Lista de Preços'!$E386)+COUNTBLANK('Lista de Preços'!$F386)+COUNTBLANK('Lista de Preços'!$L386)+COUNTBLANK('Lista de Preços'!$M386)+COUNTBLANK('Lista de Preços'!$P386)+COUNTBLANK('Lista de Preços'!$U386)+COUNTBLANK('Lista de Preços'!$V386))&gt;0,"ERRO","OK"),"")</f>
        <v/>
      </c>
      <c r="D397" s="27" t="str">
        <f aca="false">IF(COUNTA('Lista de Preços'!$A386:$W386)&gt;0,IF(OR(AND('Lista de Preços'!$L386&lt;&gt;"",NOT(ISNUMBER('Lista de Preços'!$L386))),AND('Lista de Preços'!$M386&lt;&gt;"",NOT(ISNUMBER('Lista de Preços'!$M386)))),"ERRO","OK"),"")</f>
        <v/>
      </c>
      <c r="E397" s="27" t="str">
        <f aca="false">IF(COUNTA('Lista de Preços'!$A386:$W386)&gt;0,IF(AND(ISNUMBER('Lista de Preços'!$L386),ISNUMBER('Lista de Preços'!$M386),'Lista de Preços'!$L386&gt;'Lista de Preços'!$M386),"ERRO","OK"),"")</f>
        <v/>
      </c>
      <c r="F397" s="27" t="str">
        <f aca="true">IF(COUNTA('Lista de Preços'!$A386:$W386)&gt;0,IF(AND('Lista de Preços'!$S386&lt;&gt;"",ISNUMBER('Lista de Preços'!$S386),'Lista de Preços'!$S386&lt;TODAY()),"ERRO","OK"),"")</f>
        <v/>
      </c>
      <c r="G397" s="27" t="str">
        <f aca="false">IF(COUNTA('Lista de Preços'!$A386:$W386)&gt;0,IF(AND('Lista de Preços'!$A386&lt;&gt;"",COUNTIF('Lista de Preços'!$A$4:$A$503,'Lista de Preços'!$A386)&gt;1),"ERRO","OK"),"")</f>
        <v/>
      </c>
      <c r="H397" s="27" t="str">
        <f aca="false">IF(COUNTA('Lista de Preços'!$A386:$W386)&gt;0,IF(AND('Lista de Preços'!$N386&lt;&gt;"",ISNUMBER('Lista de Preços'!$N386),OR('Lista de Preços'!$N386&lt;0,'Lista de Preços'!$N386&gt;0.5)),"ERRO","OK"),"")</f>
        <v/>
      </c>
      <c r="I397" s="27" t="str">
        <f aca="false">IF(COUNTA('Lista de Preços'!$A386:$W386)&gt;0,IF(OR($C397="ERRO",$D397="ERRO",$E397="ERRO",$F397="ERRO",$G397="ERRO",$H397="ERRO"),"FALHA","OK"),"")</f>
        <v/>
      </c>
    </row>
    <row r="398" customFormat="false" ht="15" hidden="false" customHeight="false" outlineLevel="0" collapsed="false">
      <c r="A398" s="26" t="n">
        <f aca="false">'Lista de Preços'!$A387</f>
        <v>0</v>
      </c>
      <c r="B398" s="26" t="n">
        <f aca="false">'Lista de Preços'!$B387</f>
        <v>0</v>
      </c>
      <c r="C398" s="27" t="str">
        <f aca="false">IF(COUNTA('Lista de Preços'!$A387:$W387)&gt;0,IF((COUNTBLANK('Lista de Preços'!$A387)+COUNTBLANK('Lista de Preços'!$B387)+COUNTBLANK('Lista de Preços'!$C387)+COUNTBLANK('Lista de Preços'!$D387)+COUNTBLANK('Lista de Preços'!$E387)+COUNTBLANK('Lista de Preços'!$F387)+COUNTBLANK('Lista de Preços'!$L387)+COUNTBLANK('Lista de Preços'!$M387)+COUNTBLANK('Lista de Preços'!$P387)+COUNTBLANK('Lista de Preços'!$U387)+COUNTBLANK('Lista de Preços'!$V387))&gt;0,"ERRO","OK"),"")</f>
        <v/>
      </c>
      <c r="D398" s="27" t="str">
        <f aca="false">IF(COUNTA('Lista de Preços'!$A387:$W387)&gt;0,IF(OR(AND('Lista de Preços'!$L387&lt;&gt;"",NOT(ISNUMBER('Lista de Preços'!$L387))),AND('Lista de Preços'!$M387&lt;&gt;"",NOT(ISNUMBER('Lista de Preços'!$M387)))),"ERRO","OK"),"")</f>
        <v/>
      </c>
      <c r="E398" s="27" t="str">
        <f aca="false">IF(COUNTA('Lista de Preços'!$A387:$W387)&gt;0,IF(AND(ISNUMBER('Lista de Preços'!$L387),ISNUMBER('Lista de Preços'!$M387),'Lista de Preços'!$L387&gt;'Lista de Preços'!$M387),"ERRO","OK"),"")</f>
        <v/>
      </c>
      <c r="F398" s="27" t="str">
        <f aca="true">IF(COUNTA('Lista de Preços'!$A387:$W387)&gt;0,IF(AND('Lista de Preços'!$S387&lt;&gt;"",ISNUMBER('Lista de Preços'!$S387),'Lista de Preços'!$S387&lt;TODAY()),"ERRO","OK"),"")</f>
        <v/>
      </c>
      <c r="G398" s="27" t="str">
        <f aca="false">IF(COUNTA('Lista de Preços'!$A387:$W387)&gt;0,IF(AND('Lista de Preços'!$A387&lt;&gt;"",COUNTIF('Lista de Preços'!$A$4:$A$503,'Lista de Preços'!$A387)&gt;1),"ERRO","OK"),"")</f>
        <v/>
      </c>
      <c r="H398" s="27" t="str">
        <f aca="false">IF(COUNTA('Lista de Preços'!$A387:$W387)&gt;0,IF(AND('Lista de Preços'!$N387&lt;&gt;"",ISNUMBER('Lista de Preços'!$N387),OR('Lista de Preços'!$N387&lt;0,'Lista de Preços'!$N387&gt;0.5)),"ERRO","OK"),"")</f>
        <v/>
      </c>
      <c r="I398" s="27" t="str">
        <f aca="false">IF(COUNTA('Lista de Preços'!$A387:$W387)&gt;0,IF(OR($C398="ERRO",$D398="ERRO",$E398="ERRO",$F398="ERRO",$G398="ERRO",$H398="ERRO"),"FALHA","OK"),"")</f>
        <v/>
      </c>
    </row>
    <row r="399" customFormat="false" ht="15" hidden="false" customHeight="false" outlineLevel="0" collapsed="false">
      <c r="A399" s="26" t="n">
        <f aca="false">'Lista de Preços'!$A388</f>
        <v>0</v>
      </c>
      <c r="B399" s="26" t="n">
        <f aca="false">'Lista de Preços'!$B388</f>
        <v>0</v>
      </c>
      <c r="C399" s="27" t="str">
        <f aca="false">IF(COUNTA('Lista de Preços'!$A388:$W388)&gt;0,IF((COUNTBLANK('Lista de Preços'!$A388)+COUNTBLANK('Lista de Preços'!$B388)+COUNTBLANK('Lista de Preços'!$C388)+COUNTBLANK('Lista de Preços'!$D388)+COUNTBLANK('Lista de Preços'!$E388)+COUNTBLANK('Lista de Preços'!$F388)+COUNTBLANK('Lista de Preços'!$L388)+COUNTBLANK('Lista de Preços'!$M388)+COUNTBLANK('Lista de Preços'!$P388)+COUNTBLANK('Lista de Preços'!$U388)+COUNTBLANK('Lista de Preços'!$V388))&gt;0,"ERRO","OK"),"")</f>
        <v/>
      </c>
      <c r="D399" s="27" t="str">
        <f aca="false">IF(COUNTA('Lista de Preços'!$A388:$W388)&gt;0,IF(OR(AND('Lista de Preços'!$L388&lt;&gt;"",NOT(ISNUMBER('Lista de Preços'!$L388))),AND('Lista de Preços'!$M388&lt;&gt;"",NOT(ISNUMBER('Lista de Preços'!$M388)))),"ERRO","OK"),"")</f>
        <v/>
      </c>
      <c r="E399" s="27" t="str">
        <f aca="false">IF(COUNTA('Lista de Preços'!$A388:$W388)&gt;0,IF(AND(ISNUMBER('Lista de Preços'!$L388),ISNUMBER('Lista de Preços'!$M388),'Lista de Preços'!$L388&gt;'Lista de Preços'!$M388),"ERRO","OK"),"")</f>
        <v/>
      </c>
      <c r="F399" s="27" t="str">
        <f aca="true">IF(COUNTA('Lista de Preços'!$A388:$W388)&gt;0,IF(AND('Lista de Preços'!$S388&lt;&gt;"",ISNUMBER('Lista de Preços'!$S388),'Lista de Preços'!$S388&lt;TODAY()),"ERRO","OK"),"")</f>
        <v/>
      </c>
      <c r="G399" s="27" t="str">
        <f aca="false">IF(COUNTA('Lista de Preços'!$A388:$W388)&gt;0,IF(AND('Lista de Preços'!$A388&lt;&gt;"",COUNTIF('Lista de Preços'!$A$4:$A$503,'Lista de Preços'!$A388)&gt;1),"ERRO","OK"),"")</f>
        <v/>
      </c>
      <c r="H399" s="27" t="str">
        <f aca="false">IF(COUNTA('Lista de Preços'!$A388:$W388)&gt;0,IF(AND('Lista de Preços'!$N388&lt;&gt;"",ISNUMBER('Lista de Preços'!$N388),OR('Lista de Preços'!$N388&lt;0,'Lista de Preços'!$N388&gt;0.5)),"ERRO","OK"),"")</f>
        <v/>
      </c>
      <c r="I399" s="27" t="str">
        <f aca="false">IF(COUNTA('Lista de Preços'!$A388:$W388)&gt;0,IF(OR($C399="ERRO",$D399="ERRO",$E399="ERRO",$F399="ERRO",$G399="ERRO",$H399="ERRO"),"FALHA","OK"),"")</f>
        <v/>
      </c>
    </row>
    <row r="400" customFormat="false" ht="15" hidden="false" customHeight="false" outlineLevel="0" collapsed="false">
      <c r="A400" s="26" t="n">
        <f aca="false">'Lista de Preços'!$A389</f>
        <v>0</v>
      </c>
      <c r="B400" s="26" t="n">
        <f aca="false">'Lista de Preços'!$B389</f>
        <v>0</v>
      </c>
      <c r="C400" s="27" t="str">
        <f aca="false">IF(COUNTA('Lista de Preços'!$A389:$W389)&gt;0,IF((COUNTBLANK('Lista de Preços'!$A389)+COUNTBLANK('Lista de Preços'!$B389)+COUNTBLANK('Lista de Preços'!$C389)+COUNTBLANK('Lista de Preços'!$D389)+COUNTBLANK('Lista de Preços'!$E389)+COUNTBLANK('Lista de Preços'!$F389)+COUNTBLANK('Lista de Preços'!$L389)+COUNTBLANK('Lista de Preços'!$M389)+COUNTBLANK('Lista de Preços'!$P389)+COUNTBLANK('Lista de Preços'!$U389)+COUNTBLANK('Lista de Preços'!$V389))&gt;0,"ERRO","OK"),"")</f>
        <v/>
      </c>
      <c r="D400" s="27" t="str">
        <f aca="false">IF(COUNTA('Lista de Preços'!$A389:$W389)&gt;0,IF(OR(AND('Lista de Preços'!$L389&lt;&gt;"",NOT(ISNUMBER('Lista de Preços'!$L389))),AND('Lista de Preços'!$M389&lt;&gt;"",NOT(ISNUMBER('Lista de Preços'!$M389)))),"ERRO","OK"),"")</f>
        <v/>
      </c>
      <c r="E400" s="27" t="str">
        <f aca="false">IF(COUNTA('Lista de Preços'!$A389:$W389)&gt;0,IF(AND(ISNUMBER('Lista de Preços'!$L389),ISNUMBER('Lista de Preços'!$M389),'Lista de Preços'!$L389&gt;'Lista de Preços'!$M389),"ERRO","OK"),"")</f>
        <v/>
      </c>
      <c r="F400" s="27" t="str">
        <f aca="true">IF(COUNTA('Lista de Preços'!$A389:$W389)&gt;0,IF(AND('Lista de Preços'!$S389&lt;&gt;"",ISNUMBER('Lista de Preços'!$S389),'Lista de Preços'!$S389&lt;TODAY()),"ERRO","OK"),"")</f>
        <v/>
      </c>
      <c r="G400" s="27" t="str">
        <f aca="false">IF(COUNTA('Lista de Preços'!$A389:$W389)&gt;0,IF(AND('Lista de Preços'!$A389&lt;&gt;"",COUNTIF('Lista de Preços'!$A$4:$A$503,'Lista de Preços'!$A389)&gt;1),"ERRO","OK"),"")</f>
        <v/>
      </c>
      <c r="H400" s="27" t="str">
        <f aca="false">IF(COUNTA('Lista de Preços'!$A389:$W389)&gt;0,IF(AND('Lista de Preços'!$N389&lt;&gt;"",ISNUMBER('Lista de Preços'!$N389),OR('Lista de Preços'!$N389&lt;0,'Lista de Preços'!$N389&gt;0.5)),"ERRO","OK"),"")</f>
        <v/>
      </c>
      <c r="I400" s="27" t="str">
        <f aca="false">IF(COUNTA('Lista de Preços'!$A389:$W389)&gt;0,IF(OR($C400="ERRO",$D400="ERRO",$E400="ERRO",$F400="ERRO",$G400="ERRO",$H400="ERRO"),"FALHA","OK"),"")</f>
        <v/>
      </c>
    </row>
    <row r="401" customFormat="false" ht="15" hidden="false" customHeight="false" outlineLevel="0" collapsed="false">
      <c r="A401" s="26" t="n">
        <f aca="false">'Lista de Preços'!$A390</f>
        <v>0</v>
      </c>
      <c r="B401" s="26" t="n">
        <f aca="false">'Lista de Preços'!$B390</f>
        <v>0</v>
      </c>
      <c r="C401" s="27" t="str">
        <f aca="false">IF(COUNTA('Lista de Preços'!$A390:$W390)&gt;0,IF((COUNTBLANK('Lista de Preços'!$A390)+COUNTBLANK('Lista de Preços'!$B390)+COUNTBLANK('Lista de Preços'!$C390)+COUNTBLANK('Lista de Preços'!$D390)+COUNTBLANK('Lista de Preços'!$E390)+COUNTBLANK('Lista de Preços'!$F390)+COUNTBLANK('Lista de Preços'!$L390)+COUNTBLANK('Lista de Preços'!$M390)+COUNTBLANK('Lista de Preços'!$P390)+COUNTBLANK('Lista de Preços'!$U390)+COUNTBLANK('Lista de Preços'!$V390))&gt;0,"ERRO","OK"),"")</f>
        <v/>
      </c>
      <c r="D401" s="27" t="str">
        <f aca="false">IF(COUNTA('Lista de Preços'!$A390:$W390)&gt;0,IF(OR(AND('Lista de Preços'!$L390&lt;&gt;"",NOT(ISNUMBER('Lista de Preços'!$L390))),AND('Lista de Preços'!$M390&lt;&gt;"",NOT(ISNUMBER('Lista de Preços'!$M390)))),"ERRO","OK"),"")</f>
        <v/>
      </c>
      <c r="E401" s="27" t="str">
        <f aca="false">IF(COUNTA('Lista de Preços'!$A390:$W390)&gt;0,IF(AND(ISNUMBER('Lista de Preços'!$L390),ISNUMBER('Lista de Preços'!$M390),'Lista de Preços'!$L390&gt;'Lista de Preços'!$M390),"ERRO","OK"),"")</f>
        <v/>
      </c>
      <c r="F401" s="27" t="str">
        <f aca="true">IF(COUNTA('Lista de Preços'!$A390:$W390)&gt;0,IF(AND('Lista de Preços'!$S390&lt;&gt;"",ISNUMBER('Lista de Preços'!$S390),'Lista de Preços'!$S390&lt;TODAY()),"ERRO","OK"),"")</f>
        <v/>
      </c>
      <c r="G401" s="27" t="str">
        <f aca="false">IF(COUNTA('Lista de Preços'!$A390:$W390)&gt;0,IF(AND('Lista de Preços'!$A390&lt;&gt;"",COUNTIF('Lista de Preços'!$A$4:$A$503,'Lista de Preços'!$A390)&gt;1),"ERRO","OK"),"")</f>
        <v/>
      </c>
      <c r="H401" s="27" t="str">
        <f aca="false">IF(COUNTA('Lista de Preços'!$A390:$W390)&gt;0,IF(AND('Lista de Preços'!$N390&lt;&gt;"",ISNUMBER('Lista de Preços'!$N390),OR('Lista de Preços'!$N390&lt;0,'Lista de Preços'!$N390&gt;0.5)),"ERRO","OK"),"")</f>
        <v/>
      </c>
      <c r="I401" s="27" t="str">
        <f aca="false">IF(COUNTA('Lista de Preços'!$A390:$W390)&gt;0,IF(OR($C401="ERRO",$D401="ERRO",$E401="ERRO",$F401="ERRO",$G401="ERRO",$H401="ERRO"),"FALHA","OK"),"")</f>
        <v/>
      </c>
    </row>
    <row r="402" customFormat="false" ht="15" hidden="false" customHeight="false" outlineLevel="0" collapsed="false">
      <c r="A402" s="26" t="n">
        <f aca="false">'Lista de Preços'!$A391</f>
        <v>0</v>
      </c>
      <c r="B402" s="26" t="n">
        <f aca="false">'Lista de Preços'!$B391</f>
        <v>0</v>
      </c>
      <c r="C402" s="27" t="str">
        <f aca="false">IF(COUNTA('Lista de Preços'!$A391:$W391)&gt;0,IF((COUNTBLANK('Lista de Preços'!$A391)+COUNTBLANK('Lista de Preços'!$B391)+COUNTBLANK('Lista de Preços'!$C391)+COUNTBLANK('Lista de Preços'!$D391)+COUNTBLANK('Lista de Preços'!$E391)+COUNTBLANK('Lista de Preços'!$F391)+COUNTBLANK('Lista de Preços'!$L391)+COUNTBLANK('Lista de Preços'!$M391)+COUNTBLANK('Lista de Preços'!$P391)+COUNTBLANK('Lista de Preços'!$U391)+COUNTBLANK('Lista de Preços'!$V391))&gt;0,"ERRO","OK"),"")</f>
        <v/>
      </c>
      <c r="D402" s="27" t="str">
        <f aca="false">IF(COUNTA('Lista de Preços'!$A391:$W391)&gt;0,IF(OR(AND('Lista de Preços'!$L391&lt;&gt;"",NOT(ISNUMBER('Lista de Preços'!$L391))),AND('Lista de Preços'!$M391&lt;&gt;"",NOT(ISNUMBER('Lista de Preços'!$M391)))),"ERRO","OK"),"")</f>
        <v/>
      </c>
      <c r="E402" s="27" t="str">
        <f aca="false">IF(COUNTA('Lista de Preços'!$A391:$W391)&gt;0,IF(AND(ISNUMBER('Lista de Preços'!$L391),ISNUMBER('Lista de Preços'!$M391),'Lista de Preços'!$L391&gt;'Lista de Preços'!$M391),"ERRO","OK"),"")</f>
        <v/>
      </c>
      <c r="F402" s="27" t="str">
        <f aca="true">IF(COUNTA('Lista de Preços'!$A391:$W391)&gt;0,IF(AND('Lista de Preços'!$S391&lt;&gt;"",ISNUMBER('Lista de Preços'!$S391),'Lista de Preços'!$S391&lt;TODAY()),"ERRO","OK"),"")</f>
        <v/>
      </c>
      <c r="G402" s="27" t="str">
        <f aca="false">IF(COUNTA('Lista de Preços'!$A391:$W391)&gt;0,IF(AND('Lista de Preços'!$A391&lt;&gt;"",COUNTIF('Lista de Preços'!$A$4:$A$503,'Lista de Preços'!$A391)&gt;1),"ERRO","OK"),"")</f>
        <v/>
      </c>
      <c r="H402" s="27" t="str">
        <f aca="false">IF(COUNTA('Lista de Preços'!$A391:$W391)&gt;0,IF(AND('Lista de Preços'!$N391&lt;&gt;"",ISNUMBER('Lista de Preços'!$N391),OR('Lista de Preços'!$N391&lt;0,'Lista de Preços'!$N391&gt;0.5)),"ERRO","OK"),"")</f>
        <v/>
      </c>
      <c r="I402" s="27" t="str">
        <f aca="false">IF(COUNTA('Lista de Preços'!$A391:$W391)&gt;0,IF(OR($C402="ERRO",$D402="ERRO",$E402="ERRO",$F402="ERRO",$G402="ERRO",$H402="ERRO"),"FALHA","OK"),"")</f>
        <v/>
      </c>
    </row>
    <row r="403" customFormat="false" ht="15" hidden="false" customHeight="false" outlineLevel="0" collapsed="false">
      <c r="A403" s="26" t="n">
        <f aca="false">'Lista de Preços'!$A392</f>
        <v>0</v>
      </c>
      <c r="B403" s="26" t="n">
        <f aca="false">'Lista de Preços'!$B392</f>
        <v>0</v>
      </c>
      <c r="C403" s="27" t="str">
        <f aca="false">IF(COUNTA('Lista de Preços'!$A392:$W392)&gt;0,IF((COUNTBLANK('Lista de Preços'!$A392)+COUNTBLANK('Lista de Preços'!$B392)+COUNTBLANK('Lista de Preços'!$C392)+COUNTBLANK('Lista de Preços'!$D392)+COUNTBLANK('Lista de Preços'!$E392)+COUNTBLANK('Lista de Preços'!$F392)+COUNTBLANK('Lista de Preços'!$L392)+COUNTBLANK('Lista de Preços'!$M392)+COUNTBLANK('Lista de Preços'!$P392)+COUNTBLANK('Lista de Preços'!$U392)+COUNTBLANK('Lista de Preços'!$V392))&gt;0,"ERRO","OK"),"")</f>
        <v/>
      </c>
      <c r="D403" s="27" t="str">
        <f aca="false">IF(COUNTA('Lista de Preços'!$A392:$W392)&gt;0,IF(OR(AND('Lista de Preços'!$L392&lt;&gt;"",NOT(ISNUMBER('Lista de Preços'!$L392))),AND('Lista de Preços'!$M392&lt;&gt;"",NOT(ISNUMBER('Lista de Preços'!$M392)))),"ERRO","OK"),"")</f>
        <v/>
      </c>
      <c r="E403" s="27" t="str">
        <f aca="false">IF(COUNTA('Lista de Preços'!$A392:$W392)&gt;0,IF(AND(ISNUMBER('Lista de Preços'!$L392),ISNUMBER('Lista de Preços'!$M392),'Lista de Preços'!$L392&gt;'Lista de Preços'!$M392),"ERRO","OK"),"")</f>
        <v/>
      </c>
      <c r="F403" s="27" t="str">
        <f aca="true">IF(COUNTA('Lista de Preços'!$A392:$W392)&gt;0,IF(AND('Lista de Preços'!$S392&lt;&gt;"",ISNUMBER('Lista de Preços'!$S392),'Lista de Preços'!$S392&lt;TODAY()),"ERRO","OK"),"")</f>
        <v/>
      </c>
      <c r="G403" s="27" t="str">
        <f aca="false">IF(COUNTA('Lista de Preços'!$A392:$W392)&gt;0,IF(AND('Lista de Preços'!$A392&lt;&gt;"",COUNTIF('Lista de Preços'!$A$4:$A$503,'Lista de Preços'!$A392)&gt;1),"ERRO","OK"),"")</f>
        <v/>
      </c>
      <c r="H403" s="27" t="str">
        <f aca="false">IF(COUNTA('Lista de Preços'!$A392:$W392)&gt;0,IF(AND('Lista de Preços'!$N392&lt;&gt;"",ISNUMBER('Lista de Preços'!$N392),OR('Lista de Preços'!$N392&lt;0,'Lista de Preços'!$N392&gt;0.5)),"ERRO","OK"),"")</f>
        <v/>
      </c>
      <c r="I403" s="27" t="str">
        <f aca="false">IF(COUNTA('Lista de Preços'!$A392:$W392)&gt;0,IF(OR($C403="ERRO",$D403="ERRO",$E403="ERRO",$F403="ERRO",$G403="ERRO",$H403="ERRO"),"FALHA","OK"),"")</f>
        <v/>
      </c>
    </row>
    <row r="404" customFormat="false" ht="15" hidden="false" customHeight="false" outlineLevel="0" collapsed="false">
      <c r="A404" s="26" t="n">
        <f aca="false">'Lista de Preços'!$A393</f>
        <v>0</v>
      </c>
      <c r="B404" s="26" t="n">
        <f aca="false">'Lista de Preços'!$B393</f>
        <v>0</v>
      </c>
      <c r="C404" s="27" t="str">
        <f aca="false">IF(COUNTA('Lista de Preços'!$A393:$W393)&gt;0,IF((COUNTBLANK('Lista de Preços'!$A393)+COUNTBLANK('Lista de Preços'!$B393)+COUNTBLANK('Lista de Preços'!$C393)+COUNTBLANK('Lista de Preços'!$D393)+COUNTBLANK('Lista de Preços'!$E393)+COUNTBLANK('Lista de Preços'!$F393)+COUNTBLANK('Lista de Preços'!$L393)+COUNTBLANK('Lista de Preços'!$M393)+COUNTBLANK('Lista de Preços'!$P393)+COUNTBLANK('Lista de Preços'!$U393)+COUNTBLANK('Lista de Preços'!$V393))&gt;0,"ERRO","OK"),"")</f>
        <v/>
      </c>
      <c r="D404" s="27" t="str">
        <f aca="false">IF(COUNTA('Lista de Preços'!$A393:$W393)&gt;0,IF(OR(AND('Lista de Preços'!$L393&lt;&gt;"",NOT(ISNUMBER('Lista de Preços'!$L393))),AND('Lista de Preços'!$M393&lt;&gt;"",NOT(ISNUMBER('Lista de Preços'!$M393)))),"ERRO","OK"),"")</f>
        <v/>
      </c>
      <c r="E404" s="27" t="str">
        <f aca="false">IF(COUNTA('Lista de Preços'!$A393:$W393)&gt;0,IF(AND(ISNUMBER('Lista de Preços'!$L393),ISNUMBER('Lista de Preços'!$M393),'Lista de Preços'!$L393&gt;'Lista de Preços'!$M393),"ERRO","OK"),"")</f>
        <v/>
      </c>
      <c r="F404" s="27" t="str">
        <f aca="true">IF(COUNTA('Lista de Preços'!$A393:$W393)&gt;0,IF(AND('Lista de Preços'!$S393&lt;&gt;"",ISNUMBER('Lista de Preços'!$S393),'Lista de Preços'!$S393&lt;TODAY()),"ERRO","OK"),"")</f>
        <v/>
      </c>
      <c r="G404" s="27" t="str">
        <f aca="false">IF(COUNTA('Lista de Preços'!$A393:$W393)&gt;0,IF(AND('Lista de Preços'!$A393&lt;&gt;"",COUNTIF('Lista de Preços'!$A$4:$A$503,'Lista de Preços'!$A393)&gt;1),"ERRO","OK"),"")</f>
        <v/>
      </c>
      <c r="H404" s="27" t="str">
        <f aca="false">IF(COUNTA('Lista de Preços'!$A393:$W393)&gt;0,IF(AND('Lista de Preços'!$N393&lt;&gt;"",ISNUMBER('Lista de Preços'!$N393),OR('Lista de Preços'!$N393&lt;0,'Lista de Preços'!$N393&gt;0.5)),"ERRO","OK"),"")</f>
        <v/>
      </c>
      <c r="I404" s="27" t="str">
        <f aca="false">IF(COUNTA('Lista de Preços'!$A393:$W393)&gt;0,IF(OR($C404="ERRO",$D404="ERRO",$E404="ERRO",$F404="ERRO",$G404="ERRO",$H404="ERRO"),"FALHA","OK"),"")</f>
        <v/>
      </c>
    </row>
    <row r="405" customFormat="false" ht="15" hidden="false" customHeight="false" outlineLevel="0" collapsed="false">
      <c r="A405" s="26" t="n">
        <f aca="false">'Lista de Preços'!$A394</f>
        <v>0</v>
      </c>
      <c r="B405" s="26" t="n">
        <f aca="false">'Lista de Preços'!$B394</f>
        <v>0</v>
      </c>
      <c r="C405" s="27" t="str">
        <f aca="false">IF(COUNTA('Lista de Preços'!$A394:$W394)&gt;0,IF((COUNTBLANK('Lista de Preços'!$A394)+COUNTBLANK('Lista de Preços'!$B394)+COUNTBLANK('Lista de Preços'!$C394)+COUNTBLANK('Lista de Preços'!$D394)+COUNTBLANK('Lista de Preços'!$E394)+COUNTBLANK('Lista de Preços'!$F394)+COUNTBLANK('Lista de Preços'!$L394)+COUNTBLANK('Lista de Preços'!$M394)+COUNTBLANK('Lista de Preços'!$P394)+COUNTBLANK('Lista de Preços'!$U394)+COUNTBLANK('Lista de Preços'!$V394))&gt;0,"ERRO","OK"),"")</f>
        <v/>
      </c>
      <c r="D405" s="27" t="str">
        <f aca="false">IF(COUNTA('Lista de Preços'!$A394:$W394)&gt;0,IF(OR(AND('Lista de Preços'!$L394&lt;&gt;"",NOT(ISNUMBER('Lista de Preços'!$L394))),AND('Lista de Preços'!$M394&lt;&gt;"",NOT(ISNUMBER('Lista de Preços'!$M394)))),"ERRO","OK"),"")</f>
        <v/>
      </c>
      <c r="E405" s="27" t="str">
        <f aca="false">IF(COUNTA('Lista de Preços'!$A394:$W394)&gt;0,IF(AND(ISNUMBER('Lista de Preços'!$L394),ISNUMBER('Lista de Preços'!$M394),'Lista de Preços'!$L394&gt;'Lista de Preços'!$M394),"ERRO","OK"),"")</f>
        <v/>
      </c>
      <c r="F405" s="27" t="str">
        <f aca="true">IF(COUNTA('Lista de Preços'!$A394:$W394)&gt;0,IF(AND('Lista de Preços'!$S394&lt;&gt;"",ISNUMBER('Lista de Preços'!$S394),'Lista de Preços'!$S394&lt;TODAY()),"ERRO","OK"),"")</f>
        <v/>
      </c>
      <c r="G405" s="27" t="str">
        <f aca="false">IF(COUNTA('Lista de Preços'!$A394:$W394)&gt;0,IF(AND('Lista de Preços'!$A394&lt;&gt;"",COUNTIF('Lista de Preços'!$A$4:$A$503,'Lista de Preços'!$A394)&gt;1),"ERRO","OK"),"")</f>
        <v/>
      </c>
      <c r="H405" s="27" t="str">
        <f aca="false">IF(COUNTA('Lista de Preços'!$A394:$W394)&gt;0,IF(AND('Lista de Preços'!$N394&lt;&gt;"",ISNUMBER('Lista de Preços'!$N394),OR('Lista de Preços'!$N394&lt;0,'Lista de Preços'!$N394&gt;0.5)),"ERRO","OK"),"")</f>
        <v/>
      </c>
      <c r="I405" s="27" t="str">
        <f aca="false">IF(COUNTA('Lista de Preços'!$A394:$W394)&gt;0,IF(OR($C405="ERRO",$D405="ERRO",$E405="ERRO",$F405="ERRO",$G405="ERRO",$H405="ERRO"),"FALHA","OK"),"")</f>
        <v/>
      </c>
    </row>
    <row r="406" customFormat="false" ht="15" hidden="false" customHeight="false" outlineLevel="0" collapsed="false">
      <c r="A406" s="26" t="n">
        <f aca="false">'Lista de Preços'!$A395</f>
        <v>0</v>
      </c>
      <c r="B406" s="26" t="n">
        <f aca="false">'Lista de Preços'!$B395</f>
        <v>0</v>
      </c>
      <c r="C406" s="27" t="str">
        <f aca="false">IF(COUNTA('Lista de Preços'!$A395:$W395)&gt;0,IF((COUNTBLANK('Lista de Preços'!$A395)+COUNTBLANK('Lista de Preços'!$B395)+COUNTBLANK('Lista de Preços'!$C395)+COUNTBLANK('Lista de Preços'!$D395)+COUNTBLANK('Lista de Preços'!$E395)+COUNTBLANK('Lista de Preços'!$F395)+COUNTBLANK('Lista de Preços'!$L395)+COUNTBLANK('Lista de Preços'!$M395)+COUNTBLANK('Lista de Preços'!$P395)+COUNTBLANK('Lista de Preços'!$U395)+COUNTBLANK('Lista de Preços'!$V395))&gt;0,"ERRO","OK"),"")</f>
        <v/>
      </c>
      <c r="D406" s="27" t="str">
        <f aca="false">IF(COUNTA('Lista de Preços'!$A395:$W395)&gt;0,IF(OR(AND('Lista de Preços'!$L395&lt;&gt;"",NOT(ISNUMBER('Lista de Preços'!$L395))),AND('Lista de Preços'!$M395&lt;&gt;"",NOT(ISNUMBER('Lista de Preços'!$M395)))),"ERRO","OK"),"")</f>
        <v/>
      </c>
      <c r="E406" s="27" t="str">
        <f aca="false">IF(COUNTA('Lista de Preços'!$A395:$W395)&gt;0,IF(AND(ISNUMBER('Lista de Preços'!$L395),ISNUMBER('Lista de Preços'!$M395),'Lista de Preços'!$L395&gt;'Lista de Preços'!$M395),"ERRO","OK"),"")</f>
        <v/>
      </c>
      <c r="F406" s="27" t="str">
        <f aca="true">IF(COUNTA('Lista de Preços'!$A395:$W395)&gt;0,IF(AND('Lista de Preços'!$S395&lt;&gt;"",ISNUMBER('Lista de Preços'!$S395),'Lista de Preços'!$S395&lt;TODAY()),"ERRO","OK"),"")</f>
        <v/>
      </c>
      <c r="G406" s="27" t="str">
        <f aca="false">IF(COUNTA('Lista de Preços'!$A395:$W395)&gt;0,IF(AND('Lista de Preços'!$A395&lt;&gt;"",COUNTIF('Lista de Preços'!$A$4:$A$503,'Lista de Preços'!$A395)&gt;1),"ERRO","OK"),"")</f>
        <v/>
      </c>
      <c r="H406" s="27" t="str">
        <f aca="false">IF(COUNTA('Lista de Preços'!$A395:$W395)&gt;0,IF(AND('Lista de Preços'!$N395&lt;&gt;"",ISNUMBER('Lista de Preços'!$N395),OR('Lista de Preços'!$N395&lt;0,'Lista de Preços'!$N395&gt;0.5)),"ERRO","OK"),"")</f>
        <v/>
      </c>
      <c r="I406" s="27" t="str">
        <f aca="false">IF(COUNTA('Lista de Preços'!$A395:$W395)&gt;0,IF(OR($C406="ERRO",$D406="ERRO",$E406="ERRO",$F406="ERRO",$G406="ERRO",$H406="ERRO"),"FALHA","OK"),"")</f>
        <v/>
      </c>
    </row>
    <row r="407" customFormat="false" ht="15" hidden="false" customHeight="false" outlineLevel="0" collapsed="false">
      <c r="A407" s="26" t="n">
        <f aca="false">'Lista de Preços'!$A396</f>
        <v>0</v>
      </c>
      <c r="B407" s="26" t="n">
        <f aca="false">'Lista de Preços'!$B396</f>
        <v>0</v>
      </c>
      <c r="C407" s="27" t="str">
        <f aca="false">IF(COUNTA('Lista de Preços'!$A396:$W396)&gt;0,IF((COUNTBLANK('Lista de Preços'!$A396)+COUNTBLANK('Lista de Preços'!$B396)+COUNTBLANK('Lista de Preços'!$C396)+COUNTBLANK('Lista de Preços'!$D396)+COUNTBLANK('Lista de Preços'!$E396)+COUNTBLANK('Lista de Preços'!$F396)+COUNTBLANK('Lista de Preços'!$L396)+COUNTBLANK('Lista de Preços'!$M396)+COUNTBLANK('Lista de Preços'!$P396)+COUNTBLANK('Lista de Preços'!$U396)+COUNTBLANK('Lista de Preços'!$V396))&gt;0,"ERRO","OK"),"")</f>
        <v/>
      </c>
      <c r="D407" s="27" t="str">
        <f aca="false">IF(COUNTA('Lista de Preços'!$A396:$W396)&gt;0,IF(OR(AND('Lista de Preços'!$L396&lt;&gt;"",NOT(ISNUMBER('Lista de Preços'!$L396))),AND('Lista de Preços'!$M396&lt;&gt;"",NOT(ISNUMBER('Lista de Preços'!$M396)))),"ERRO","OK"),"")</f>
        <v/>
      </c>
      <c r="E407" s="27" t="str">
        <f aca="false">IF(COUNTA('Lista de Preços'!$A396:$W396)&gt;0,IF(AND(ISNUMBER('Lista de Preços'!$L396),ISNUMBER('Lista de Preços'!$M396),'Lista de Preços'!$L396&gt;'Lista de Preços'!$M396),"ERRO","OK"),"")</f>
        <v/>
      </c>
      <c r="F407" s="27" t="str">
        <f aca="true">IF(COUNTA('Lista de Preços'!$A396:$W396)&gt;0,IF(AND('Lista de Preços'!$S396&lt;&gt;"",ISNUMBER('Lista de Preços'!$S396),'Lista de Preços'!$S396&lt;TODAY()),"ERRO","OK"),"")</f>
        <v/>
      </c>
      <c r="G407" s="27" t="str">
        <f aca="false">IF(COUNTA('Lista de Preços'!$A396:$W396)&gt;0,IF(AND('Lista de Preços'!$A396&lt;&gt;"",COUNTIF('Lista de Preços'!$A$4:$A$503,'Lista de Preços'!$A396)&gt;1),"ERRO","OK"),"")</f>
        <v/>
      </c>
      <c r="H407" s="27" t="str">
        <f aca="false">IF(COUNTA('Lista de Preços'!$A396:$W396)&gt;0,IF(AND('Lista de Preços'!$N396&lt;&gt;"",ISNUMBER('Lista de Preços'!$N396),OR('Lista de Preços'!$N396&lt;0,'Lista de Preços'!$N396&gt;0.5)),"ERRO","OK"),"")</f>
        <v/>
      </c>
      <c r="I407" s="27" t="str">
        <f aca="false">IF(COUNTA('Lista de Preços'!$A396:$W396)&gt;0,IF(OR($C407="ERRO",$D407="ERRO",$E407="ERRO",$F407="ERRO",$G407="ERRO",$H407="ERRO"),"FALHA","OK"),"")</f>
        <v/>
      </c>
    </row>
    <row r="408" customFormat="false" ht="15" hidden="false" customHeight="false" outlineLevel="0" collapsed="false">
      <c r="A408" s="26" t="n">
        <f aca="false">'Lista de Preços'!$A397</f>
        <v>0</v>
      </c>
      <c r="B408" s="26" t="n">
        <f aca="false">'Lista de Preços'!$B397</f>
        <v>0</v>
      </c>
      <c r="C408" s="27" t="str">
        <f aca="false">IF(COUNTA('Lista de Preços'!$A397:$W397)&gt;0,IF((COUNTBLANK('Lista de Preços'!$A397)+COUNTBLANK('Lista de Preços'!$B397)+COUNTBLANK('Lista de Preços'!$C397)+COUNTBLANK('Lista de Preços'!$D397)+COUNTBLANK('Lista de Preços'!$E397)+COUNTBLANK('Lista de Preços'!$F397)+COUNTBLANK('Lista de Preços'!$L397)+COUNTBLANK('Lista de Preços'!$M397)+COUNTBLANK('Lista de Preços'!$P397)+COUNTBLANK('Lista de Preços'!$U397)+COUNTBLANK('Lista de Preços'!$V397))&gt;0,"ERRO","OK"),"")</f>
        <v/>
      </c>
      <c r="D408" s="27" t="str">
        <f aca="false">IF(COUNTA('Lista de Preços'!$A397:$W397)&gt;0,IF(OR(AND('Lista de Preços'!$L397&lt;&gt;"",NOT(ISNUMBER('Lista de Preços'!$L397))),AND('Lista de Preços'!$M397&lt;&gt;"",NOT(ISNUMBER('Lista de Preços'!$M397)))),"ERRO","OK"),"")</f>
        <v/>
      </c>
      <c r="E408" s="27" t="str">
        <f aca="false">IF(COUNTA('Lista de Preços'!$A397:$W397)&gt;0,IF(AND(ISNUMBER('Lista de Preços'!$L397),ISNUMBER('Lista de Preços'!$M397),'Lista de Preços'!$L397&gt;'Lista de Preços'!$M397),"ERRO","OK"),"")</f>
        <v/>
      </c>
      <c r="F408" s="27" t="str">
        <f aca="true">IF(COUNTA('Lista de Preços'!$A397:$W397)&gt;0,IF(AND('Lista de Preços'!$S397&lt;&gt;"",ISNUMBER('Lista de Preços'!$S397),'Lista de Preços'!$S397&lt;TODAY()),"ERRO","OK"),"")</f>
        <v/>
      </c>
      <c r="G408" s="27" t="str">
        <f aca="false">IF(COUNTA('Lista de Preços'!$A397:$W397)&gt;0,IF(AND('Lista de Preços'!$A397&lt;&gt;"",COUNTIF('Lista de Preços'!$A$4:$A$503,'Lista de Preços'!$A397)&gt;1),"ERRO","OK"),"")</f>
        <v/>
      </c>
      <c r="H408" s="27" t="str">
        <f aca="false">IF(COUNTA('Lista de Preços'!$A397:$W397)&gt;0,IF(AND('Lista de Preços'!$N397&lt;&gt;"",ISNUMBER('Lista de Preços'!$N397),OR('Lista de Preços'!$N397&lt;0,'Lista de Preços'!$N397&gt;0.5)),"ERRO","OK"),"")</f>
        <v/>
      </c>
      <c r="I408" s="27" t="str">
        <f aca="false">IF(COUNTA('Lista de Preços'!$A397:$W397)&gt;0,IF(OR($C408="ERRO",$D408="ERRO",$E408="ERRO",$F408="ERRO",$G408="ERRO",$H408="ERRO"),"FALHA","OK"),"")</f>
        <v/>
      </c>
    </row>
    <row r="409" customFormat="false" ht="15" hidden="false" customHeight="false" outlineLevel="0" collapsed="false">
      <c r="A409" s="26" t="n">
        <f aca="false">'Lista de Preços'!$A398</f>
        <v>0</v>
      </c>
      <c r="B409" s="26" t="n">
        <f aca="false">'Lista de Preços'!$B398</f>
        <v>0</v>
      </c>
      <c r="C409" s="27" t="str">
        <f aca="false">IF(COUNTA('Lista de Preços'!$A398:$W398)&gt;0,IF((COUNTBLANK('Lista de Preços'!$A398)+COUNTBLANK('Lista de Preços'!$B398)+COUNTBLANK('Lista de Preços'!$C398)+COUNTBLANK('Lista de Preços'!$D398)+COUNTBLANK('Lista de Preços'!$E398)+COUNTBLANK('Lista de Preços'!$F398)+COUNTBLANK('Lista de Preços'!$L398)+COUNTBLANK('Lista de Preços'!$M398)+COUNTBLANK('Lista de Preços'!$P398)+COUNTBLANK('Lista de Preços'!$U398)+COUNTBLANK('Lista de Preços'!$V398))&gt;0,"ERRO","OK"),"")</f>
        <v/>
      </c>
      <c r="D409" s="27" t="str">
        <f aca="false">IF(COUNTA('Lista de Preços'!$A398:$W398)&gt;0,IF(OR(AND('Lista de Preços'!$L398&lt;&gt;"",NOT(ISNUMBER('Lista de Preços'!$L398))),AND('Lista de Preços'!$M398&lt;&gt;"",NOT(ISNUMBER('Lista de Preços'!$M398)))),"ERRO","OK"),"")</f>
        <v/>
      </c>
      <c r="E409" s="27" t="str">
        <f aca="false">IF(COUNTA('Lista de Preços'!$A398:$W398)&gt;0,IF(AND(ISNUMBER('Lista de Preços'!$L398),ISNUMBER('Lista de Preços'!$M398),'Lista de Preços'!$L398&gt;'Lista de Preços'!$M398),"ERRO","OK"),"")</f>
        <v/>
      </c>
      <c r="F409" s="27" t="str">
        <f aca="true">IF(COUNTA('Lista de Preços'!$A398:$W398)&gt;0,IF(AND('Lista de Preços'!$S398&lt;&gt;"",ISNUMBER('Lista de Preços'!$S398),'Lista de Preços'!$S398&lt;TODAY()),"ERRO","OK"),"")</f>
        <v/>
      </c>
      <c r="G409" s="27" t="str">
        <f aca="false">IF(COUNTA('Lista de Preços'!$A398:$W398)&gt;0,IF(AND('Lista de Preços'!$A398&lt;&gt;"",COUNTIF('Lista de Preços'!$A$4:$A$503,'Lista de Preços'!$A398)&gt;1),"ERRO","OK"),"")</f>
        <v/>
      </c>
      <c r="H409" s="27" t="str">
        <f aca="false">IF(COUNTA('Lista de Preços'!$A398:$W398)&gt;0,IF(AND('Lista de Preços'!$N398&lt;&gt;"",ISNUMBER('Lista de Preços'!$N398),OR('Lista de Preços'!$N398&lt;0,'Lista de Preços'!$N398&gt;0.5)),"ERRO","OK"),"")</f>
        <v/>
      </c>
      <c r="I409" s="27" t="str">
        <f aca="false">IF(COUNTA('Lista de Preços'!$A398:$W398)&gt;0,IF(OR($C409="ERRO",$D409="ERRO",$E409="ERRO",$F409="ERRO",$G409="ERRO",$H409="ERRO"),"FALHA","OK"),"")</f>
        <v/>
      </c>
    </row>
    <row r="410" customFormat="false" ht="15" hidden="false" customHeight="false" outlineLevel="0" collapsed="false">
      <c r="A410" s="26" t="n">
        <f aca="false">'Lista de Preços'!$A399</f>
        <v>0</v>
      </c>
      <c r="B410" s="26" t="n">
        <f aca="false">'Lista de Preços'!$B399</f>
        <v>0</v>
      </c>
      <c r="C410" s="27" t="str">
        <f aca="false">IF(COUNTA('Lista de Preços'!$A399:$W399)&gt;0,IF((COUNTBLANK('Lista de Preços'!$A399)+COUNTBLANK('Lista de Preços'!$B399)+COUNTBLANK('Lista de Preços'!$C399)+COUNTBLANK('Lista de Preços'!$D399)+COUNTBLANK('Lista de Preços'!$E399)+COUNTBLANK('Lista de Preços'!$F399)+COUNTBLANK('Lista de Preços'!$L399)+COUNTBLANK('Lista de Preços'!$M399)+COUNTBLANK('Lista de Preços'!$P399)+COUNTBLANK('Lista de Preços'!$U399)+COUNTBLANK('Lista de Preços'!$V399))&gt;0,"ERRO","OK"),"")</f>
        <v/>
      </c>
      <c r="D410" s="27" t="str">
        <f aca="false">IF(COUNTA('Lista de Preços'!$A399:$W399)&gt;0,IF(OR(AND('Lista de Preços'!$L399&lt;&gt;"",NOT(ISNUMBER('Lista de Preços'!$L399))),AND('Lista de Preços'!$M399&lt;&gt;"",NOT(ISNUMBER('Lista de Preços'!$M399)))),"ERRO","OK"),"")</f>
        <v/>
      </c>
      <c r="E410" s="27" t="str">
        <f aca="false">IF(COUNTA('Lista de Preços'!$A399:$W399)&gt;0,IF(AND(ISNUMBER('Lista de Preços'!$L399),ISNUMBER('Lista de Preços'!$M399),'Lista de Preços'!$L399&gt;'Lista de Preços'!$M399),"ERRO","OK"),"")</f>
        <v/>
      </c>
      <c r="F410" s="27" t="str">
        <f aca="true">IF(COUNTA('Lista de Preços'!$A399:$W399)&gt;0,IF(AND('Lista de Preços'!$S399&lt;&gt;"",ISNUMBER('Lista de Preços'!$S399),'Lista de Preços'!$S399&lt;TODAY()),"ERRO","OK"),"")</f>
        <v/>
      </c>
      <c r="G410" s="27" t="str">
        <f aca="false">IF(COUNTA('Lista de Preços'!$A399:$W399)&gt;0,IF(AND('Lista de Preços'!$A399&lt;&gt;"",COUNTIF('Lista de Preços'!$A$4:$A$503,'Lista de Preços'!$A399)&gt;1),"ERRO","OK"),"")</f>
        <v/>
      </c>
      <c r="H410" s="27" t="str">
        <f aca="false">IF(COUNTA('Lista de Preços'!$A399:$W399)&gt;0,IF(AND('Lista de Preços'!$N399&lt;&gt;"",ISNUMBER('Lista de Preços'!$N399),OR('Lista de Preços'!$N399&lt;0,'Lista de Preços'!$N399&gt;0.5)),"ERRO","OK"),"")</f>
        <v/>
      </c>
      <c r="I410" s="27" t="str">
        <f aca="false">IF(COUNTA('Lista de Preços'!$A399:$W399)&gt;0,IF(OR($C410="ERRO",$D410="ERRO",$E410="ERRO",$F410="ERRO",$G410="ERRO",$H410="ERRO"),"FALHA","OK"),"")</f>
        <v/>
      </c>
    </row>
    <row r="411" customFormat="false" ht="15" hidden="false" customHeight="false" outlineLevel="0" collapsed="false">
      <c r="A411" s="26" t="n">
        <f aca="false">'Lista de Preços'!$A400</f>
        <v>0</v>
      </c>
      <c r="B411" s="26" t="n">
        <f aca="false">'Lista de Preços'!$B400</f>
        <v>0</v>
      </c>
      <c r="C411" s="27" t="str">
        <f aca="false">IF(COUNTA('Lista de Preços'!$A400:$W400)&gt;0,IF((COUNTBLANK('Lista de Preços'!$A400)+COUNTBLANK('Lista de Preços'!$B400)+COUNTBLANK('Lista de Preços'!$C400)+COUNTBLANK('Lista de Preços'!$D400)+COUNTBLANK('Lista de Preços'!$E400)+COUNTBLANK('Lista de Preços'!$F400)+COUNTBLANK('Lista de Preços'!$L400)+COUNTBLANK('Lista de Preços'!$M400)+COUNTBLANK('Lista de Preços'!$P400)+COUNTBLANK('Lista de Preços'!$U400)+COUNTBLANK('Lista de Preços'!$V400))&gt;0,"ERRO","OK"),"")</f>
        <v/>
      </c>
      <c r="D411" s="27" t="str">
        <f aca="false">IF(COUNTA('Lista de Preços'!$A400:$W400)&gt;0,IF(OR(AND('Lista de Preços'!$L400&lt;&gt;"",NOT(ISNUMBER('Lista de Preços'!$L400))),AND('Lista de Preços'!$M400&lt;&gt;"",NOT(ISNUMBER('Lista de Preços'!$M400)))),"ERRO","OK"),"")</f>
        <v/>
      </c>
      <c r="E411" s="27" t="str">
        <f aca="false">IF(COUNTA('Lista de Preços'!$A400:$W400)&gt;0,IF(AND(ISNUMBER('Lista de Preços'!$L400),ISNUMBER('Lista de Preços'!$M400),'Lista de Preços'!$L400&gt;'Lista de Preços'!$M400),"ERRO","OK"),"")</f>
        <v/>
      </c>
      <c r="F411" s="27" t="str">
        <f aca="true">IF(COUNTA('Lista de Preços'!$A400:$W400)&gt;0,IF(AND('Lista de Preços'!$S400&lt;&gt;"",ISNUMBER('Lista de Preços'!$S400),'Lista de Preços'!$S400&lt;TODAY()),"ERRO","OK"),"")</f>
        <v/>
      </c>
      <c r="G411" s="27" t="str">
        <f aca="false">IF(COUNTA('Lista de Preços'!$A400:$W400)&gt;0,IF(AND('Lista de Preços'!$A400&lt;&gt;"",COUNTIF('Lista de Preços'!$A$4:$A$503,'Lista de Preços'!$A400)&gt;1),"ERRO","OK"),"")</f>
        <v/>
      </c>
      <c r="H411" s="27" t="str">
        <f aca="false">IF(COUNTA('Lista de Preços'!$A400:$W400)&gt;0,IF(AND('Lista de Preços'!$N400&lt;&gt;"",ISNUMBER('Lista de Preços'!$N400),OR('Lista de Preços'!$N400&lt;0,'Lista de Preços'!$N400&gt;0.5)),"ERRO","OK"),"")</f>
        <v/>
      </c>
      <c r="I411" s="27" t="str">
        <f aca="false">IF(COUNTA('Lista de Preços'!$A400:$W400)&gt;0,IF(OR($C411="ERRO",$D411="ERRO",$E411="ERRO",$F411="ERRO",$G411="ERRO",$H411="ERRO"),"FALHA","OK"),"")</f>
        <v/>
      </c>
    </row>
    <row r="412" customFormat="false" ht="15" hidden="false" customHeight="false" outlineLevel="0" collapsed="false">
      <c r="A412" s="26" t="n">
        <f aca="false">'Lista de Preços'!$A401</f>
        <v>0</v>
      </c>
      <c r="B412" s="26" t="n">
        <f aca="false">'Lista de Preços'!$B401</f>
        <v>0</v>
      </c>
      <c r="C412" s="27" t="str">
        <f aca="false">IF(COUNTA('Lista de Preços'!$A401:$W401)&gt;0,IF((COUNTBLANK('Lista de Preços'!$A401)+COUNTBLANK('Lista de Preços'!$B401)+COUNTBLANK('Lista de Preços'!$C401)+COUNTBLANK('Lista de Preços'!$D401)+COUNTBLANK('Lista de Preços'!$E401)+COUNTBLANK('Lista de Preços'!$F401)+COUNTBLANK('Lista de Preços'!$L401)+COUNTBLANK('Lista de Preços'!$M401)+COUNTBLANK('Lista de Preços'!$P401)+COUNTBLANK('Lista de Preços'!$U401)+COUNTBLANK('Lista de Preços'!$V401))&gt;0,"ERRO","OK"),"")</f>
        <v/>
      </c>
      <c r="D412" s="27" t="str">
        <f aca="false">IF(COUNTA('Lista de Preços'!$A401:$W401)&gt;0,IF(OR(AND('Lista de Preços'!$L401&lt;&gt;"",NOT(ISNUMBER('Lista de Preços'!$L401))),AND('Lista de Preços'!$M401&lt;&gt;"",NOT(ISNUMBER('Lista de Preços'!$M401)))),"ERRO","OK"),"")</f>
        <v/>
      </c>
      <c r="E412" s="27" t="str">
        <f aca="false">IF(COUNTA('Lista de Preços'!$A401:$W401)&gt;0,IF(AND(ISNUMBER('Lista de Preços'!$L401),ISNUMBER('Lista de Preços'!$M401),'Lista de Preços'!$L401&gt;'Lista de Preços'!$M401),"ERRO","OK"),"")</f>
        <v/>
      </c>
      <c r="F412" s="27" t="str">
        <f aca="true">IF(COUNTA('Lista de Preços'!$A401:$W401)&gt;0,IF(AND('Lista de Preços'!$S401&lt;&gt;"",ISNUMBER('Lista de Preços'!$S401),'Lista de Preços'!$S401&lt;TODAY()),"ERRO","OK"),"")</f>
        <v/>
      </c>
      <c r="G412" s="27" t="str">
        <f aca="false">IF(COUNTA('Lista de Preços'!$A401:$W401)&gt;0,IF(AND('Lista de Preços'!$A401&lt;&gt;"",COUNTIF('Lista de Preços'!$A$4:$A$503,'Lista de Preços'!$A401)&gt;1),"ERRO","OK"),"")</f>
        <v/>
      </c>
      <c r="H412" s="27" t="str">
        <f aca="false">IF(COUNTA('Lista de Preços'!$A401:$W401)&gt;0,IF(AND('Lista de Preços'!$N401&lt;&gt;"",ISNUMBER('Lista de Preços'!$N401),OR('Lista de Preços'!$N401&lt;0,'Lista de Preços'!$N401&gt;0.5)),"ERRO","OK"),"")</f>
        <v/>
      </c>
      <c r="I412" s="27" t="str">
        <f aca="false">IF(COUNTA('Lista de Preços'!$A401:$W401)&gt;0,IF(OR($C412="ERRO",$D412="ERRO",$E412="ERRO",$F412="ERRO",$G412="ERRO",$H412="ERRO"),"FALHA","OK"),"")</f>
        <v/>
      </c>
    </row>
    <row r="413" customFormat="false" ht="15" hidden="false" customHeight="false" outlineLevel="0" collapsed="false">
      <c r="A413" s="26" t="n">
        <f aca="false">'Lista de Preços'!$A402</f>
        <v>0</v>
      </c>
      <c r="B413" s="26" t="n">
        <f aca="false">'Lista de Preços'!$B402</f>
        <v>0</v>
      </c>
      <c r="C413" s="27" t="str">
        <f aca="false">IF(COUNTA('Lista de Preços'!$A402:$W402)&gt;0,IF((COUNTBLANK('Lista de Preços'!$A402)+COUNTBLANK('Lista de Preços'!$B402)+COUNTBLANK('Lista de Preços'!$C402)+COUNTBLANK('Lista de Preços'!$D402)+COUNTBLANK('Lista de Preços'!$E402)+COUNTBLANK('Lista de Preços'!$F402)+COUNTBLANK('Lista de Preços'!$L402)+COUNTBLANK('Lista de Preços'!$M402)+COUNTBLANK('Lista de Preços'!$P402)+COUNTBLANK('Lista de Preços'!$U402)+COUNTBLANK('Lista de Preços'!$V402))&gt;0,"ERRO","OK"),"")</f>
        <v/>
      </c>
      <c r="D413" s="27" t="str">
        <f aca="false">IF(COUNTA('Lista de Preços'!$A402:$W402)&gt;0,IF(OR(AND('Lista de Preços'!$L402&lt;&gt;"",NOT(ISNUMBER('Lista de Preços'!$L402))),AND('Lista de Preços'!$M402&lt;&gt;"",NOT(ISNUMBER('Lista de Preços'!$M402)))),"ERRO","OK"),"")</f>
        <v/>
      </c>
      <c r="E413" s="27" t="str">
        <f aca="false">IF(COUNTA('Lista de Preços'!$A402:$W402)&gt;0,IF(AND(ISNUMBER('Lista de Preços'!$L402),ISNUMBER('Lista de Preços'!$M402),'Lista de Preços'!$L402&gt;'Lista de Preços'!$M402),"ERRO","OK"),"")</f>
        <v/>
      </c>
      <c r="F413" s="27" t="str">
        <f aca="true">IF(COUNTA('Lista de Preços'!$A402:$W402)&gt;0,IF(AND('Lista de Preços'!$S402&lt;&gt;"",ISNUMBER('Lista de Preços'!$S402),'Lista de Preços'!$S402&lt;TODAY()),"ERRO","OK"),"")</f>
        <v/>
      </c>
      <c r="G413" s="27" t="str">
        <f aca="false">IF(COUNTA('Lista de Preços'!$A402:$W402)&gt;0,IF(AND('Lista de Preços'!$A402&lt;&gt;"",COUNTIF('Lista de Preços'!$A$4:$A$503,'Lista de Preços'!$A402)&gt;1),"ERRO","OK"),"")</f>
        <v/>
      </c>
      <c r="H413" s="27" t="str">
        <f aca="false">IF(COUNTA('Lista de Preços'!$A402:$W402)&gt;0,IF(AND('Lista de Preços'!$N402&lt;&gt;"",ISNUMBER('Lista de Preços'!$N402),OR('Lista de Preços'!$N402&lt;0,'Lista de Preços'!$N402&gt;0.5)),"ERRO","OK"),"")</f>
        <v/>
      </c>
      <c r="I413" s="27" t="str">
        <f aca="false">IF(COUNTA('Lista de Preços'!$A402:$W402)&gt;0,IF(OR($C413="ERRO",$D413="ERRO",$E413="ERRO",$F413="ERRO",$G413="ERRO",$H413="ERRO"),"FALHA","OK"),"")</f>
        <v/>
      </c>
    </row>
    <row r="414" customFormat="false" ht="15" hidden="false" customHeight="false" outlineLevel="0" collapsed="false">
      <c r="A414" s="26" t="n">
        <f aca="false">'Lista de Preços'!$A403</f>
        <v>0</v>
      </c>
      <c r="B414" s="26" t="n">
        <f aca="false">'Lista de Preços'!$B403</f>
        <v>0</v>
      </c>
      <c r="C414" s="27" t="str">
        <f aca="false">IF(COUNTA('Lista de Preços'!$A403:$W403)&gt;0,IF((COUNTBLANK('Lista de Preços'!$A403)+COUNTBLANK('Lista de Preços'!$B403)+COUNTBLANK('Lista de Preços'!$C403)+COUNTBLANK('Lista de Preços'!$D403)+COUNTBLANK('Lista de Preços'!$E403)+COUNTBLANK('Lista de Preços'!$F403)+COUNTBLANK('Lista de Preços'!$L403)+COUNTBLANK('Lista de Preços'!$M403)+COUNTBLANK('Lista de Preços'!$P403)+COUNTBLANK('Lista de Preços'!$U403)+COUNTBLANK('Lista de Preços'!$V403))&gt;0,"ERRO","OK"),"")</f>
        <v/>
      </c>
      <c r="D414" s="27" t="str">
        <f aca="false">IF(COUNTA('Lista de Preços'!$A403:$W403)&gt;0,IF(OR(AND('Lista de Preços'!$L403&lt;&gt;"",NOT(ISNUMBER('Lista de Preços'!$L403))),AND('Lista de Preços'!$M403&lt;&gt;"",NOT(ISNUMBER('Lista de Preços'!$M403)))),"ERRO","OK"),"")</f>
        <v/>
      </c>
      <c r="E414" s="27" t="str">
        <f aca="false">IF(COUNTA('Lista de Preços'!$A403:$W403)&gt;0,IF(AND(ISNUMBER('Lista de Preços'!$L403),ISNUMBER('Lista de Preços'!$M403),'Lista de Preços'!$L403&gt;'Lista de Preços'!$M403),"ERRO","OK"),"")</f>
        <v/>
      </c>
      <c r="F414" s="27" t="str">
        <f aca="true">IF(COUNTA('Lista de Preços'!$A403:$W403)&gt;0,IF(AND('Lista de Preços'!$S403&lt;&gt;"",ISNUMBER('Lista de Preços'!$S403),'Lista de Preços'!$S403&lt;TODAY()),"ERRO","OK"),"")</f>
        <v/>
      </c>
      <c r="G414" s="27" t="str">
        <f aca="false">IF(COUNTA('Lista de Preços'!$A403:$W403)&gt;0,IF(AND('Lista de Preços'!$A403&lt;&gt;"",COUNTIF('Lista de Preços'!$A$4:$A$503,'Lista de Preços'!$A403)&gt;1),"ERRO","OK"),"")</f>
        <v/>
      </c>
      <c r="H414" s="27" t="str">
        <f aca="false">IF(COUNTA('Lista de Preços'!$A403:$W403)&gt;0,IF(AND('Lista de Preços'!$N403&lt;&gt;"",ISNUMBER('Lista de Preços'!$N403),OR('Lista de Preços'!$N403&lt;0,'Lista de Preços'!$N403&gt;0.5)),"ERRO","OK"),"")</f>
        <v/>
      </c>
      <c r="I414" s="27" t="str">
        <f aca="false">IF(COUNTA('Lista de Preços'!$A403:$W403)&gt;0,IF(OR($C414="ERRO",$D414="ERRO",$E414="ERRO",$F414="ERRO",$G414="ERRO",$H414="ERRO"),"FALHA","OK"),"")</f>
        <v/>
      </c>
    </row>
    <row r="415" customFormat="false" ht="15" hidden="false" customHeight="false" outlineLevel="0" collapsed="false">
      <c r="A415" s="26" t="n">
        <f aca="false">'Lista de Preços'!$A404</f>
        <v>0</v>
      </c>
      <c r="B415" s="26" t="n">
        <f aca="false">'Lista de Preços'!$B404</f>
        <v>0</v>
      </c>
      <c r="C415" s="27" t="str">
        <f aca="false">IF(COUNTA('Lista de Preços'!$A404:$W404)&gt;0,IF((COUNTBLANK('Lista de Preços'!$A404)+COUNTBLANK('Lista de Preços'!$B404)+COUNTBLANK('Lista de Preços'!$C404)+COUNTBLANK('Lista de Preços'!$D404)+COUNTBLANK('Lista de Preços'!$E404)+COUNTBLANK('Lista de Preços'!$F404)+COUNTBLANK('Lista de Preços'!$L404)+COUNTBLANK('Lista de Preços'!$M404)+COUNTBLANK('Lista de Preços'!$P404)+COUNTBLANK('Lista de Preços'!$U404)+COUNTBLANK('Lista de Preços'!$V404))&gt;0,"ERRO","OK"),"")</f>
        <v/>
      </c>
      <c r="D415" s="27" t="str">
        <f aca="false">IF(COUNTA('Lista de Preços'!$A404:$W404)&gt;0,IF(OR(AND('Lista de Preços'!$L404&lt;&gt;"",NOT(ISNUMBER('Lista de Preços'!$L404))),AND('Lista de Preços'!$M404&lt;&gt;"",NOT(ISNUMBER('Lista de Preços'!$M404)))),"ERRO","OK"),"")</f>
        <v/>
      </c>
      <c r="E415" s="27" t="str">
        <f aca="false">IF(COUNTA('Lista de Preços'!$A404:$W404)&gt;0,IF(AND(ISNUMBER('Lista de Preços'!$L404),ISNUMBER('Lista de Preços'!$M404),'Lista de Preços'!$L404&gt;'Lista de Preços'!$M404),"ERRO","OK"),"")</f>
        <v/>
      </c>
      <c r="F415" s="27" t="str">
        <f aca="true">IF(COUNTA('Lista de Preços'!$A404:$W404)&gt;0,IF(AND('Lista de Preços'!$S404&lt;&gt;"",ISNUMBER('Lista de Preços'!$S404),'Lista de Preços'!$S404&lt;TODAY()),"ERRO","OK"),"")</f>
        <v/>
      </c>
      <c r="G415" s="27" t="str">
        <f aca="false">IF(COUNTA('Lista de Preços'!$A404:$W404)&gt;0,IF(AND('Lista de Preços'!$A404&lt;&gt;"",COUNTIF('Lista de Preços'!$A$4:$A$503,'Lista de Preços'!$A404)&gt;1),"ERRO","OK"),"")</f>
        <v/>
      </c>
      <c r="H415" s="27" t="str">
        <f aca="false">IF(COUNTA('Lista de Preços'!$A404:$W404)&gt;0,IF(AND('Lista de Preços'!$N404&lt;&gt;"",ISNUMBER('Lista de Preços'!$N404),OR('Lista de Preços'!$N404&lt;0,'Lista de Preços'!$N404&gt;0.5)),"ERRO","OK"),"")</f>
        <v/>
      </c>
      <c r="I415" s="27" t="str">
        <f aca="false">IF(COUNTA('Lista de Preços'!$A404:$W404)&gt;0,IF(OR($C415="ERRO",$D415="ERRO",$E415="ERRO",$F415="ERRO",$G415="ERRO",$H415="ERRO"),"FALHA","OK"),"")</f>
        <v/>
      </c>
    </row>
    <row r="416" customFormat="false" ht="15" hidden="false" customHeight="false" outlineLevel="0" collapsed="false">
      <c r="A416" s="26" t="n">
        <f aca="false">'Lista de Preços'!$A405</f>
        <v>0</v>
      </c>
      <c r="B416" s="26" t="n">
        <f aca="false">'Lista de Preços'!$B405</f>
        <v>0</v>
      </c>
      <c r="C416" s="27" t="str">
        <f aca="false">IF(COUNTA('Lista de Preços'!$A405:$W405)&gt;0,IF((COUNTBLANK('Lista de Preços'!$A405)+COUNTBLANK('Lista de Preços'!$B405)+COUNTBLANK('Lista de Preços'!$C405)+COUNTBLANK('Lista de Preços'!$D405)+COUNTBLANK('Lista de Preços'!$E405)+COUNTBLANK('Lista de Preços'!$F405)+COUNTBLANK('Lista de Preços'!$L405)+COUNTBLANK('Lista de Preços'!$M405)+COUNTBLANK('Lista de Preços'!$P405)+COUNTBLANK('Lista de Preços'!$U405)+COUNTBLANK('Lista de Preços'!$V405))&gt;0,"ERRO","OK"),"")</f>
        <v/>
      </c>
      <c r="D416" s="27" t="str">
        <f aca="false">IF(COUNTA('Lista de Preços'!$A405:$W405)&gt;0,IF(OR(AND('Lista de Preços'!$L405&lt;&gt;"",NOT(ISNUMBER('Lista de Preços'!$L405))),AND('Lista de Preços'!$M405&lt;&gt;"",NOT(ISNUMBER('Lista de Preços'!$M405)))),"ERRO","OK"),"")</f>
        <v/>
      </c>
      <c r="E416" s="27" t="str">
        <f aca="false">IF(COUNTA('Lista de Preços'!$A405:$W405)&gt;0,IF(AND(ISNUMBER('Lista de Preços'!$L405),ISNUMBER('Lista de Preços'!$M405),'Lista de Preços'!$L405&gt;'Lista de Preços'!$M405),"ERRO","OK"),"")</f>
        <v/>
      </c>
      <c r="F416" s="27" t="str">
        <f aca="true">IF(COUNTA('Lista de Preços'!$A405:$W405)&gt;0,IF(AND('Lista de Preços'!$S405&lt;&gt;"",ISNUMBER('Lista de Preços'!$S405),'Lista de Preços'!$S405&lt;TODAY()),"ERRO","OK"),"")</f>
        <v/>
      </c>
      <c r="G416" s="27" t="str">
        <f aca="false">IF(COUNTA('Lista de Preços'!$A405:$W405)&gt;0,IF(AND('Lista de Preços'!$A405&lt;&gt;"",COUNTIF('Lista de Preços'!$A$4:$A$503,'Lista de Preços'!$A405)&gt;1),"ERRO","OK"),"")</f>
        <v/>
      </c>
      <c r="H416" s="27" t="str">
        <f aca="false">IF(COUNTA('Lista de Preços'!$A405:$W405)&gt;0,IF(AND('Lista de Preços'!$N405&lt;&gt;"",ISNUMBER('Lista de Preços'!$N405),OR('Lista de Preços'!$N405&lt;0,'Lista de Preços'!$N405&gt;0.5)),"ERRO","OK"),"")</f>
        <v/>
      </c>
      <c r="I416" s="27" t="str">
        <f aca="false">IF(COUNTA('Lista de Preços'!$A405:$W405)&gt;0,IF(OR($C416="ERRO",$D416="ERRO",$E416="ERRO",$F416="ERRO",$G416="ERRO",$H416="ERRO"),"FALHA","OK"),"")</f>
        <v/>
      </c>
    </row>
    <row r="417" customFormat="false" ht="15" hidden="false" customHeight="false" outlineLevel="0" collapsed="false">
      <c r="A417" s="26" t="n">
        <f aca="false">'Lista de Preços'!$A406</f>
        <v>0</v>
      </c>
      <c r="B417" s="26" t="n">
        <f aca="false">'Lista de Preços'!$B406</f>
        <v>0</v>
      </c>
      <c r="C417" s="27" t="str">
        <f aca="false">IF(COUNTA('Lista de Preços'!$A406:$W406)&gt;0,IF((COUNTBLANK('Lista de Preços'!$A406)+COUNTBLANK('Lista de Preços'!$B406)+COUNTBLANK('Lista de Preços'!$C406)+COUNTBLANK('Lista de Preços'!$D406)+COUNTBLANK('Lista de Preços'!$E406)+COUNTBLANK('Lista de Preços'!$F406)+COUNTBLANK('Lista de Preços'!$L406)+COUNTBLANK('Lista de Preços'!$M406)+COUNTBLANK('Lista de Preços'!$P406)+COUNTBLANK('Lista de Preços'!$U406)+COUNTBLANK('Lista de Preços'!$V406))&gt;0,"ERRO","OK"),"")</f>
        <v/>
      </c>
      <c r="D417" s="27" t="str">
        <f aca="false">IF(COUNTA('Lista de Preços'!$A406:$W406)&gt;0,IF(OR(AND('Lista de Preços'!$L406&lt;&gt;"",NOT(ISNUMBER('Lista de Preços'!$L406))),AND('Lista de Preços'!$M406&lt;&gt;"",NOT(ISNUMBER('Lista de Preços'!$M406)))),"ERRO","OK"),"")</f>
        <v/>
      </c>
      <c r="E417" s="27" t="str">
        <f aca="false">IF(COUNTA('Lista de Preços'!$A406:$W406)&gt;0,IF(AND(ISNUMBER('Lista de Preços'!$L406),ISNUMBER('Lista de Preços'!$M406),'Lista de Preços'!$L406&gt;'Lista de Preços'!$M406),"ERRO","OK"),"")</f>
        <v/>
      </c>
      <c r="F417" s="27" t="str">
        <f aca="true">IF(COUNTA('Lista de Preços'!$A406:$W406)&gt;0,IF(AND('Lista de Preços'!$S406&lt;&gt;"",ISNUMBER('Lista de Preços'!$S406),'Lista de Preços'!$S406&lt;TODAY()),"ERRO","OK"),"")</f>
        <v/>
      </c>
      <c r="G417" s="27" t="str">
        <f aca="false">IF(COUNTA('Lista de Preços'!$A406:$W406)&gt;0,IF(AND('Lista de Preços'!$A406&lt;&gt;"",COUNTIF('Lista de Preços'!$A$4:$A$503,'Lista de Preços'!$A406)&gt;1),"ERRO","OK"),"")</f>
        <v/>
      </c>
      <c r="H417" s="27" t="str">
        <f aca="false">IF(COUNTA('Lista de Preços'!$A406:$W406)&gt;0,IF(AND('Lista de Preços'!$N406&lt;&gt;"",ISNUMBER('Lista de Preços'!$N406),OR('Lista de Preços'!$N406&lt;0,'Lista de Preços'!$N406&gt;0.5)),"ERRO","OK"),"")</f>
        <v/>
      </c>
      <c r="I417" s="27" t="str">
        <f aca="false">IF(COUNTA('Lista de Preços'!$A406:$W406)&gt;0,IF(OR($C417="ERRO",$D417="ERRO",$E417="ERRO",$F417="ERRO",$G417="ERRO",$H417="ERRO"),"FALHA","OK"),"")</f>
        <v/>
      </c>
    </row>
    <row r="418" customFormat="false" ht="15" hidden="false" customHeight="false" outlineLevel="0" collapsed="false">
      <c r="A418" s="26" t="n">
        <f aca="false">'Lista de Preços'!$A407</f>
        <v>0</v>
      </c>
      <c r="B418" s="26" t="n">
        <f aca="false">'Lista de Preços'!$B407</f>
        <v>0</v>
      </c>
      <c r="C418" s="27" t="str">
        <f aca="false">IF(COUNTA('Lista de Preços'!$A407:$W407)&gt;0,IF((COUNTBLANK('Lista de Preços'!$A407)+COUNTBLANK('Lista de Preços'!$B407)+COUNTBLANK('Lista de Preços'!$C407)+COUNTBLANK('Lista de Preços'!$D407)+COUNTBLANK('Lista de Preços'!$E407)+COUNTBLANK('Lista de Preços'!$F407)+COUNTBLANK('Lista de Preços'!$L407)+COUNTBLANK('Lista de Preços'!$M407)+COUNTBLANK('Lista de Preços'!$P407)+COUNTBLANK('Lista de Preços'!$U407)+COUNTBLANK('Lista de Preços'!$V407))&gt;0,"ERRO","OK"),"")</f>
        <v/>
      </c>
      <c r="D418" s="27" t="str">
        <f aca="false">IF(COUNTA('Lista de Preços'!$A407:$W407)&gt;0,IF(OR(AND('Lista de Preços'!$L407&lt;&gt;"",NOT(ISNUMBER('Lista de Preços'!$L407))),AND('Lista de Preços'!$M407&lt;&gt;"",NOT(ISNUMBER('Lista de Preços'!$M407)))),"ERRO","OK"),"")</f>
        <v/>
      </c>
      <c r="E418" s="27" t="str">
        <f aca="false">IF(COUNTA('Lista de Preços'!$A407:$W407)&gt;0,IF(AND(ISNUMBER('Lista de Preços'!$L407),ISNUMBER('Lista de Preços'!$M407),'Lista de Preços'!$L407&gt;'Lista de Preços'!$M407),"ERRO","OK"),"")</f>
        <v/>
      </c>
      <c r="F418" s="27" t="str">
        <f aca="true">IF(COUNTA('Lista de Preços'!$A407:$W407)&gt;0,IF(AND('Lista de Preços'!$S407&lt;&gt;"",ISNUMBER('Lista de Preços'!$S407),'Lista de Preços'!$S407&lt;TODAY()),"ERRO","OK"),"")</f>
        <v/>
      </c>
      <c r="G418" s="27" t="str">
        <f aca="false">IF(COUNTA('Lista de Preços'!$A407:$W407)&gt;0,IF(AND('Lista de Preços'!$A407&lt;&gt;"",COUNTIF('Lista de Preços'!$A$4:$A$503,'Lista de Preços'!$A407)&gt;1),"ERRO","OK"),"")</f>
        <v/>
      </c>
      <c r="H418" s="27" t="str">
        <f aca="false">IF(COUNTA('Lista de Preços'!$A407:$W407)&gt;0,IF(AND('Lista de Preços'!$N407&lt;&gt;"",ISNUMBER('Lista de Preços'!$N407),OR('Lista de Preços'!$N407&lt;0,'Lista de Preços'!$N407&gt;0.5)),"ERRO","OK"),"")</f>
        <v/>
      </c>
      <c r="I418" s="27" t="str">
        <f aca="false">IF(COUNTA('Lista de Preços'!$A407:$W407)&gt;0,IF(OR($C418="ERRO",$D418="ERRO",$E418="ERRO",$F418="ERRO",$G418="ERRO",$H418="ERRO"),"FALHA","OK"),"")</f>
        <v/>
      </c>
    </row>
    <row r="419" customFormat="false" ht="15" hidden="false" customHeight="false" outlineLevel="0" collapsed="false">
      <c r="A419" s="26" t="n">
        <f aca="false">'Lista de Preços'!$A408</f>
        <v>0</v>
      </c>
      <c r="B419" s="26" t="n">
        <f aca="false">'Lista de Preços'!$B408</f>
        <v>0</v>
      </c>
      <c r="C419" s="27" t="str">
        <f aca="false">IF(COUNTA('Lista de Preços'!$A408:$W408)&gt;0,IF((COUNTBLANK('Lista de Preços'!$A408)+COUNTBLANK('Lista de Preços'!$B408)+COUNTBLANK('Lista de Preços'!$C408)+COUNTBLANK('Lista de Preços'!$D408)+COUNTBLANK('Lista de Preços'!$E408)+COUNTBLANK('Lista de Preços'!$F408)+COUNTBLANK('Lista de Preços'!$L408)+COUNTBLANK('Lista de Preços'!$M408)+COUNTBLANK('Lista de Preços'!$P408)+COUNTBLANK('Lista de Preços'!$U408)+COUNTBLANK('Lista de Preços'!$V408))&gt;0,"ERRO","OK"),"")</f>
        <v/>
      </c>
      <c r="D419" s="27" t="str">
        <f aca="false">IF(COUNTA('Lista de Preços'!$A408:$W408)&gt;0,IF(OR(AND('Lista de Preços'!$L408&lt;&gt;"",NOT(ISNUMBER('Lista de Preços'!$L408))),AND('Lista de Preços'!$M408&lt;&gt;"",NOT(ISNUMBER('Lista de Preços'!$M408)))),"ERRO","OK"),"")</f>
        <v/>
      </c>
      <c r="E419" s="27" t="str">
        <f aca="false">IF(COUNTA('Lista de Preços'!$A408:$W408)&gt;0,IF(AND(ISNUMBER('Lista de Preços'!$L408),ISNUMBER('Lista de Preços'!$M408),'Lista de Preços'!$L408&gt;'Lista de Preços'!$M408),"ERRO","OK"),"")</f>
        <v/>
      </c>
      <c r="F419" s="27" t="str">
        <f aca="true">IF(COUNTA('Lista de Preços'!$A408:$W408)&gt;0,IF(AND('Lista de Preços'!$S408&lt;&gt;"",ISNUMBER('Lista de Preços'!$S408),'Lista de Preços'!$S408&lt;TODAY()),"ERRO","OK"),"")</f>
        <v/>
      </c>
      <c r="G419" s="27" t="str">
        <f aca="false">IF(COUNTA('Lista de Preços'!$A408:$W408)&gt;0,IF(AND('Lista de Preços'!$A408&lt;&gt;"",COUNTIF('Lista de Preços'!$A$4:$A$503,'Lista de Preços'!$A408)&gt;1),"ERRO","OK"),"")</f>
        <v/>
      </c>
      <c r="H419" s="27" t="str">
        <f aca="false">IF(COUNTA('Lista de Preços'!$A408:$W408)&gt;0,IF(AND('Lista de Preços'!$N408&lt;&gt;"",ISNUMBER('Lista de Preços'!$N408),OR('Lista de Preços'!$N408&lt;0,'Lista de Preços'!$N408&gt;0.5)),"ERRO","OK"),"")</f>
        <v/>
      </c>
      <c r="I419" s="27" t="str">
        <f aca="false">IF(COUNTA('Lista de Preços'!$A408:$W408)&gt;0,IF(OR($C419="ERRO",$D419="ERRO",$E419="ERRO",$F419="ERRO",$G419="ERRO",$H419="ERRO"),"FALHA","OK"),"")</f>
        <v/>
      </c>
    </row>
    <row r="420" customFormat="false" ht="15" hidden="false" customHeight="false" outlineLevel="0" collapsed="false">
      <c r="A420" s="26" t="n">
        <f aca="false">'Lista de Preços'!$A409</f>
        <v>0</v>
      </c>
      <c r="B420" s="26" t="n">
        <f aca="false">'Lista de Preços'!$B409</f>
        <v>0</v>
      </c>
      <c r="C420" s="27" t="str">
        <f aca="false">IF(COUNTA('Lista de Preços'!$A409:$W409)&gt;0,IF((COUNTBLANK('Lista de Preços'!$A409)+COUNTBLANK('Lista de Preços'!$B409)+COUNTBLANK('Lista de Preços'!$C409)+COUNTBLANK('Lista de Preços'!$D409)+COUNTBLANK('Lista de Preços'!$E409)+COUNTBLANK('Lista de Preços'!$F409)+COUNTBLANK('Lista de Preços'!$L409)+COUNTBLANK('Lista de Preços'!$M409)+COUNTBLANK('Lista de Preços'!$P409)+COUNTBLANK('Lista de Preços'!$U409)+COUNTBLANK('Lista de Preços'!$V409))&gt;0,"ERRO","OK"),"")</f>
        <v/>
      </c>
      <c r="D420" s="27" t="str">
        <f aca="false">IF(COUNTA('Lista de Preços'!$A409:$W409)&gt;0,IF(OR(AND('Lista de Preços'!$L409&lt;&gt;"",NOT(ISNUMBER('Lista de Preços'!$L409))),AND('Lista de Preços'!$M409&lt;&gt;"",NOT(ISNUMBER('Lista de Preços'!$M409)))),"ERRO","OK"),"")</f>
        <v/>
      </c>
      <c r="E420" s="27" t="str">
        <f aca="false">IF(COUNTA('Lista de Preços'!$A409:$W409)&gt;0,IF(AND(ISNUMBER('Lista de Preços'!$L409),ISNUMBER('Lista de Preços'!$M409),'Lista de Preços'!$L409&gt;'Lista de Preços'!$M409),"ERRO","OK"),"")</f>
        <v/>
      </c>
      <c r="F420" s="27" t="str">
        <f aca="true">IF(COUNTA('Lista de Preços'!$A409:$W409)&gt;0,IF(AND('Lista de Preços'!$S409&lt;&gt;"",ISNUMBER('Lista de Preços'!$S409),'Lista de Preços'!$S409&lt;TODAY()),"ERRO","OK"),"")</f>
        <v/>
      </c>
      <c r="G420" s="27" t="str">
        <f aca="false">IF(COUNTA('Lista de Preços'!$A409:$W409)&gt;0,IF(AND('Lista de Preços'!$A409&lt;&gt;"",COUNTIF('Lista de Preços'!$A$4:$A$503,'Lista de Preços'!$A409)&gt;1),"ERRO","OK"),"")</f>
        <v/>
      </c>
      <c r="H420" s="27" t="str">
        <f aca="false">IF(COUNTA('Lista de Preços'!$A409:$W409)&gt;0,IF(AND('Lista de Preços'!$N409&lt;&gt;"",ISNUMBER('Lista de Preços'!$N409),OR('Lista de Preços'!$N409&lt;0,'Lista de Preços'!$N409&gt;0.5)),"ERRO","OK"),"")</f>
        <v/>
      </c>
      <c r="I420" s="27" t="str">
        <f aca="false">IF(COUNTA('Lista de Preços'!$A409:$W409)&gt;0,IF(OR($C420="ERRO",$D420="ERRO",$E420="ERRO",$F420="ERRO",$G420="ERRO",$H420="ERRO"),"FALHA","OK"),"")</f>
        <v/>
      </c>
    </row>
    <row r="421" customFormat="false" ht="15" hidden="false" customHeight="false" outlineLevel="0" collapsed="false">
      <c r="A421" s="26" t="n">
        <f aca="false">'Lista de Preços'!$A410</f>
        <v>0</v>
      </c>
      <c r="B421" s="26" t="n">
        <f aca="false">'Lista de Preços'!$B410</f>
        <v>0</v>
      </c>
      <c r="C421" s="27" t="str">
        <f aca="false">IF(COUNTA('Lista de Preços'!$A410:$W410)&gt;0,IF((COUNTBLANK('Lista de Preços'!$A410)+COUNTBLANK('Lista de Preços'!$B410)+COUNTBLANK('Lista de Preços'!$C410)+COUNTBLANK('Lista de Preços'!$D410)+COUNTBLANK('Lista de Preços'!$E410)+COUNTBLANK('Lista de Preços'!$F410)+COUNTBLANK('Lista de Preços'!$L410)+COUNTBLANK('Lista de Preços'!$M410)+COUNTBLANK('Lista de Preços'!$P410)+COUNTBLANK('Lista de Preços'!$U410)+COUNTBLANK('Lista de Preços'!$V410))&gt;0,"ERRO","OK"),"")</f>
        <v/>
      </c>
      <c r="D421" s="27" t="str">
        <f aca="false">IF(COUNTA('Lista de Preços'!$A410:$W410)&gt;0,IF(OR(AND('Lista de Preços'!$L410&lt;&gt;"",NOT(ISNUMBER('Lista de Preços'!$L410))),AND('Lista de Preços'!$M410&lt;&gt;"",NOT(ISNUMBER('Lista de Preços'!$M410)))),"ERRO","OK"),"")</f>
        <v/>
      </c>
      <c r="E421" s="27" t="str">
        <f aca="false">IF(COUNTA('Lista de Preços'!$A410:$W410)&gt;0,IF(AND(ISNUMBER('Lista de Preços'!$L410),ISNUMBER('Lista de Preços'!$M410),'Lista de Preços'!$L410&gt;'Lista de Preços'!$M410),"ERRO","OK"),"")</f>
        <v/>
      </c>
      <c r="F421" s="27" t="str">
        <f aca="true">IF(COUNTA('Lista de Preços'!$A410:$W410)&gt;0,IF(AND('Lista de Preços'!$S410&lt;&gt;"",ISNUMBER('Lista de Preços'!$S410),'Lista de Preços'!$S410&lt;TODAY()),"ERRO","OK"),"")</f>
        <v/>
      </c>
      <c r="G421" s="27" t="str">
        <f aca="false">IF(COUNTA('Lista de Preços'!$A410:$W410)&gt;0,IF(AND('Lista de Preços'!$A410&lt;&gt;"",COUNTIF('Lista de Preços'!$A$4:$A$503,'Lista de Preços'!$A410)&gt;1),"ERRO","OK"),"")</f>
        <v/>
      </c>
      <c r="H421" s="27" t="str">
        <f aca="false">IF(COUNTA('Lista de Preços'!$A410:$W410)&gt;0,IF(AND('Lista de Preços'!$N410&lt;&gt;"",ISNUMBER('Lista de Preços'!$N410),OR('Lista de Preços'!$N410&lt;0,'Lista de Preços'!$N410&gt;0.5)),"ERRO","OK"),"")</f>
        <v/>
      </c>
      <c r="I421" s="27" t="str">
        <f aca="false">IF(COUNTA('Lista de Preços'!$A410:$W410)&gt;0,IF(OR($C421="ERRO",$D421="ERRO",$E421="ERRO",$F421="ERRO",$G421="ERRO",$H421="ERRO"),"FALHA","OK"),"")</f>
        <v/>
      </c>
    </row>
    <row r="422" customFormat="false" ht="15" hidden="false" customHeight="false" outlineLevel="0" collapsed="false">
      <c r="A422" s="26" t="n">
        <f aca="false">'Lista de Preços'!$A411</f>
        <v>0</v>
      </c>
      <c r="B422" s="26" t="n">
        <f aca="false">'Lista de Preços'!$B411</f>
        <v>0</v>
      </c>
      <c r="C422" s="27" t="str">
        <f aca="false">IF(COUNTA('Lista de Preços'!$A411:$W411)&gt;0,IF((COUNTBLANK('Lista de Preços'!$A411)+COUNTBLANK('Lista de Preços'!$B411)+COUNTBLANK('Lista de Preços'!$C411)+COUNTBLANK('Lista de Preços'!$D411)+COUNTBLANK('Lista de Preços'!$E411)+COUNTBLANK('Lista de Preços'!$F411)+COUNTBLANK('Lista de Preços'!$L411)+COUNTBLANK('Lista de Preços'!$M411)+COUNTBLANK('Lista de Preços'!$P411)+COUNTBLANK('Lista de Preços'!$U411)+COUNTBLANK('Lista de Preços'!$V411))&gt;0,"ERRO","OK"),"")</f>
        <v/>
      </c>
      <c r="D422" s="27" t="str">
        <f aca="false">IF(COUNTA('Lista de Preços'!$A411:$W411)&gt;0,IF(OR(AND('Lista de Preços'!$L411&lt;&gt;"",NOT(ISNUMBER('Lista de Preços'!$L411))),AND('Lista de Preços'!$M411&lt;&gt;"",NOT(ISNUMBER('Lista de Preços'!$M411)))),"ERRO","OK"),"")</f>
        <v/>
      </c>
      <c r="E422" s="27" t="str">
        <f aca="false">IF(COUNTA('Lista de Preços'!$A411:$W411)&gt;0,IF(AND(ISNUMBER('Lista de Preços'!$L411),ISNUMBER('Lista de Preços'!$M411),'Lista de Preços'!$L411&gt;'Lista de Preços'!$M411),"ERRO","OK"),"")</f>
        <v/>
      </c>
      <c r="F422" s="27" t="str">
        <f aca="true">IF(COUNTA('Lista de Preços'!$A411:$W411)&gt;0,IF(AND('Lista de Preços'!$S411&lt;&gt;"",ISNUMBER('Lista de Preços'!$S411),'Lista de Preços'!$S411&lt;TODAY()),"ERRO","OK"),"")</f>
        <v/>
      </c>
      <c r="G422" s="27" t="str">
        <f aca="false">IF(COUNTA('Lista de Preços'!$A411:$W411)&gt;0,IF(AND('Lista de Preços'!$A411&lt;&gt;"",COUNTIF('Lista de Preços'!$A$4:$A$503,'Lista de Preços'!$A411)&gt;1),"ERRO","OK"),"")</f>
        <v/>
      </c>
      <c r="H422" s="27" t="str">
        <f aca="false">IF(COUNTA('Lista de Preços'!$A411:$W411)&gt;0,IF(AND('Lista de Preços'!$N411&lt;&gt;"",ISNUMBER('Lista de Preços'!$N411),OR('Lista de Preços'!$N411&lt;0,'Lista de Preços'!$N411&gt;0.5)),"ERRO","OK"),"")</f>
        <v/>
      </c>
      <c r="I422" s="27" t="str">
        <f aca="false">IF(COUNTA('Lista de Preços'!$A411:$W411)&gt;0,IF(OR($C422="ERRO",$D422="ERRO",$E422="ERRO",$F422="ERRO",$G422="ERRO",$H422="ERRO"),"FALHA","OK"),"")</f>
        <v/>
      </c>
    </row>
    <row r="423" customFormat="false" ht="15" hidden="false" customHeight="false" outlineLevel="0" collapsed="false">
      <c r="A423" s="26" t="n">
        <f aca="false">'Lista de Preços'!$A412</f>
        <v>0</v>
      </c>
      <c r="B423" s="26" t="n">
        <f aca="false">'Lista de Preços'!$B412</f>
        <v>0</v>
      </c>
      <c r="C423" s="27" t="str">
        <f aca="false">IF(COUNTA('Lista de Preços'!$A412:$W412)&gt;0,IF((COUNTBLANK('Lista de Preços'!$A412)+COUNTBLANK('Lista de Preços'!$B412)+COUNTBLANK('Lista de Preços'!$C412)+COUNTBLANK('Lista de Preços'!$D412)+COUNTBLANK('Lista de Preços'!$E412)+COUNTBLANK('Lista de Preços'!$F412)+COUNTBLANK('Lista de Preços'!$L412)+COUNTBLANK('Lista de Preços'!$M412)+COUNTBLANK('Lista de Preços'!$P412)+COUNTBLANK('Lista de Preços'!$U412)+COUNTBLANK('Lista de Preços'!$V412))&gt;0,"ERRO","OK"),"")</f>
        <v/>
      </c>
      <c r="D423" s="27" t="str">
        <f aca="false">IF(COUNTA('Lista de Preços'!$A412:$W412)&gt;0,IF(OR(AND('Lista de Preços'!$L412&lt;&gt;"",NOT(ISNUMBER('Lista de Preços'!$L412))),AND('Lista de Preços'!$M412&lt;&gt;"",NOT(ISNUMBER('Lista de Preços'!$M412)))),"ERRO","OK"),"")</f>
        <v/>
      </c>
      <c r="E423" s="27" t="str">
        <f aca="false">IF(COUNTA('Lista de Preços'!$A412:$W412)&gt;0,IF(AND(ISNUMBER('Lista de Preços'!$L412),ISNUMBER('Lista de Preços'!$M412),'Lista de Preços'!$L412&gt;'Lista de Preços'!$M412),"ERRO","OK"),"")</f>
        <v/>
      </c>
      <c r="F423" s="27" t="str">
        <f aca="true">IF(COUNTA('Lista de Preços'!$A412:$W412)&gt;0,IF(AND('Lista de Preços'!$S412&lt;&gt;"",ISNUMBER('Lista de Preços'!$S412),'Lista de Preços'!$S412&lt;TODAY()),"ERRO","OK"),"")</f>
        <v/>
      </c>
      <c r="G423" s="27" t="str">
        <f aca="false">IF(COUNTA('Lista de Preços'!$A412:$W412)&gt;0,IF(AND('Lista de Preços'!$A412&lt;&gt;"",COUNTIF('Lista de Preços'!$A$4:$A$503,'Lista de Preços'!$A412)&gt;1),"ERRO","OK"),"")</f>
        <v/>
      </c>
      <c r="H423" s="27" t="str">
        <f aca="false">IF(COUNTA('Lista de Preços'!$A412:$W412)&gt;0,IF(AND('Lista de Preços'!$N412&lt;&gt;"",ISNUMBER('Lista de Preços'!$N412),OR('Lista de Preços'!$N412&lt;0,'Lista de Preços'!$N412&gt;0.5)),"ERRO","OK"),"")</f>
        <v/>
      </c>
      <c r="I423" s="27" t="str">
        <f aca="false">IF(COUNTA('Lista de Preços'!$A412:$W412)&gt;0,IF(OR($C423="ERRO",$D423="ERRO",$E423="ERRO",$F423="ERRO",$G423="ERRO",$H423="ERRO"),"FALHA","OK"),"")</f>
        <v/>
      </c>
    </row>
    <row r="424" customFormat="false" ht="15" hidden="false" customHeight="false" outlineLevel="0" collapsed="false">
      <c r="A424" s="26" t="n">
        <f aca="false">'Lista de Preços'!$A413</f>
        <v>0</v>
      </c>
      <c r="B424" s="26" t="n">
        <f aca="false">'Lista de Preços'!$B413</f>
        <v>0</v>
      </c>
      <c r="C424" s="27" t="str">
        <f aca="false">IF(COUNTA('Lista de Preços'!$A413:$W413)&gt;0,IF((COUNTBLANK('Lista de Preços'!$A413)+COUNTBLANK('Lista de Preços'!$B413)+COUNTBLANK('Lista de Preços'!$C413)+COUNTBLANK('Lista de Preços'!$D413)+COUNTBLANK('Lista de Preços'!$E413)+COUNTBLANK('Lista de Preços'!$F413)+COUNTBLANK('Lista de Preços'!$L413)+COUNTBLANK('Lista de Preços'!$M413)+COUNTBLANK('Lista de Preços'!$P413)+COUNTBLANK('Lista de Preços'!$U413)+COUNTBLANK('Lista de Preços'!$V413))&gt;0,"ERRO","OK"),"")</f>
        <v/>
      </c>
      <c r="D424" s="27" t="str">
        <f aca="false">IF(COUNTA('Lista de Preços'!$A413:$W413)&gt;0,IF(OR(AND('Lista de Preços'!$L413&lt;&gt;"",NOT(ISNUMBER('Lista de Preços'!$L413))),AND('Lista de Preços'!$M413&lt;&gt;"",NOT(ISNUMBER('Lista de Preços'!$M413)))),"ERRO","OK"),"")</f>
        <v/>
      </c>
      <c r="E424" s="27" t="str">
        <f aca="false">IF(COUNTA('Lista de Preços'!$A413:$W413)&gt;0,IF(AND(ISNUMBER('Lista de Preços'!$L413),ISNUMBER('Lista de Preços'!$M413),'Lista de Preços'!$L413&gt;'Lista de Preços'!$M413),"ERRO","OK"),"")</f>
        <v/>
      </c>
      <c r="F424" s="27" t="str">
        <f aca="true">IF(COUNTA('Lista de Preços'!$A413:$W413)&gt;0,IF(AND('Lista de Preços'!$S413&lt;&gt;"",ISNUMBER('Lista de Preços'!$S413),'Lista de Preços'!$S413&lt;TODAY()),"ERRO","OK"),"")</f>
        <v/>
      </c>
      <c r="G424" s="27" t="str">
        <f aca="false">IF(COUNTA('Lista de Preços'!$A413:$W413)&gt;0,IF(AND('Lista de Preços'!$A413&lt;&gt;"",COUNTIF('Lista de Preços'!$A$4:$A$503,'Lista de Preços'!$A413)&gt;1),"ERRO","OK"),"")</f>
        <v/>
      </c>
      <c r="H424" s="27" t="str">
        <f aca="false">IF(COUNTA('Lista de Preços'!$A413:$W413)&gt;0,IF(AND('Lista de Preços'!$N413&lt;&gt;"",ISNUMBER('Lista de Preços'!$N413),OR('Lista de Preços'!$N413&lt;0,'Lista de Preços'!$N413&gt;0.5)),"ERRO","OK"),"")</f>
        <v/>
      </c>
      <c r="I424" s="27" t="str">
        <f aca="false">IF(COUNTA('Lista de Preços'!$A413:$W413)&gt;0,IF(OR($C424="ERRO",$D424="ERRO",$E424="ERRO",$F424="ERRO",$G424="ERRO",$H424="ERRO"),"FALHA","OK"),"")</f>
        <v/>
      </c>
    </row>
    <row r="425" customFormat="false" ht="15" hidden="false" customHeight="false" outlineLevel="0" collapsed="false">
      <c r="A425" s="26" t="n">
        <f aca="false">'Lista de Preços'!$A414</f>
        <v>0</v>
      </c>
      <c r="B425" s="26" t="n">
        <f aca="false">'Lista de Preços'!$B414</f>
        <v>0</v>
      </c>
      <c r="C425" s="27" t="str">
        <f aca="false">IF(COUNTA('Lista de Preços'!$A414:$W414)&gt;0,IF((COUNTBLANK('Lista de Preços'!$A414)+COUNTBLANK('Lista de Preços'!$B414)+COUNTBLANK('Lista de Preços'!$C414)+COUNTBLANK('Lista de Preços'!$D414)+COUNTBLANK('Lista de Preços'!$E414)+COUNTBLANK('Lista de Preços'!$F414)+COUNTBLANK('Lista de Preços'!$L414)+COUNTBLANK('Lista de Preços'!$M414)+COUNTBLANK('Lista de Preços'!$P414)+COUNTBLANK('Lista de Preços'!$U414)+COUNTBLANK('Lista de Preços'!$V414))&gt;0,"ERRO","OK"),"")</f>
        <v/>
      </c>
      <c r="D425" s="27" t="str">
        <f aca="false">IF(COUNTA('Lista de Preços'!$A414:$W414)&gt;0,IF(OR(AND('Lista de Preços'!$L414&lt;&gt;"",NOT(ISNUMBER('Lista de Preços'!$L414))),AND('Lista de Preços'!$M414&lt;&gt;"",NOT(ISNUMBER('Lista de Preços'!$M414)))),"ERRO","OK"),"")</f>
        <v/>
      </c>
      <c r="E425" s="27" t="str">
        <f aca="false">IF(COUNTA('Lista de Preços'!$A414:$W414)&gt;0,IF(AND(ISNUMBER('Lista de Preços'!$L414),ISNUMBER('Lista de Preços'!$M414),'Lista de Preços'!$L414&gt;'Lista de Preços'!$M414),"ERRO","OK"),"")</f>
        <v/>
      </c>
      <c r="F425" s="27" t="str">
        <f aca="true">IF(COUNTA('Lista de Preços'!$A414:$W414)&gt;0,IF(AND('Lista de Preços'!$S414&lt;&gt;"",ISNUMBER('Lista de Preços'!$S414),'Lista de Preços'!$S414&lt;TODAY()),"ERRO","OK"),"")</f>
        <v/>
      </c>
      <c r="G425" s="27" t="str">
        <f aca="false">IF(COUNTA('Lista de Preços'!$A414:$W414)&gt;0,IF(AND('Lista de Preços'!$A414&lt;&gt;"",COUNTIF('Lista de Preços'!$A$4:$A$503,'Lista de Preços'!$A414)&gt;1),"ERRO","OK"),"")</f>
        <v/>
      </c>
      <c r="H425" s="27" t="str">
        <f aca="false">IF(COUNTA('Lista de Preços'!$A414:$W414)&gt;0,IF(AND('Lista de Preços'!$N414&lt;&gt;"",ISNUMBER('Lista de Preços'!$N414),OR('Lista de Preços'!$N414&lt;0,'Lista de Preços'!$N414&gt;0.5)),"ERRO","OK"),"")</f>
        <v/>
      </c>
      <c r="I425" s="27" t="str">
        <f aca="false">IF(COUNTA('Lista de Preços'!$A414:$W414)&gt;0,IF(OR($C425="ERRO",$D425="ERRO",$E425="ERRO",$F425="ERRO",$G425="ERRO",$H425="ERRO"),"FALHA","OK"),"")</f>
        <v/>
      </c>
    </row>
    <row r="426" customFormat="false" ht="15" hidden="false" customHeight="false" outlineLevel="0" collapsed="false">
      <c r="A426" s="26" t="n">
        <f aca="false">'Lista de Preços'!$A415</f>
        <v>0</v>
      </c>
      <c r="B426" s="26" t="n">
        <f aca="false">'Lista de Preços'!$B415</f>
        <v>0</v>
      </c>
      <c r="C426" s="27" t="str">
        <f aca="false">IF(COUNTA('Lista de Preços'!$A415:$W415)&gt;0,IF((COUNTBLANK('Lista de Preços'!$A415)+COUNTBLANK('Lista de Preços'!$B415)+COUNTBLANK('Lista de Preços'!$C415)+COUNTBLANK('Lista de Preços'!$D415)+COUNTBLANK('Lista de Preços'!$E415)+COUNTBLANK('Lista de Preços'!$F415)+COUNTBLANK('Lista de Preços'!$L415)+COUNTBLANK('Lista de Preços'!$M415)+COUNTBLANK('Lista de Preços'!$P415)+COUNTBLANK('Lista de Preços'!$U415)+COUNTBLANK('Lista de Preços'!$V415))&gt;0,"ERRO","OK"),"")</f>
        <v/>
      </c>
      <c r="D426" s="27" t="str">
        <f aca="false">IF(COUNTA('Lista de Preços'!$A415:$W415)&gt;0,IF(OR(AND('Lista de Preços'!$L415&lt;&gt;"",NOT(ISNUMBER('Lista de Preços'!$L415))),AND('Lista de Preços'!$M415&lt;&gt;"",NOT(ISNUMBER('Lista de Preços'!$M415)))),"ERRO","OK"),"")</f>
        <v/>
      </c>
      <c r="E426" s="27" t="str">
        <f aca="false">IF(COUNTA('Lista de Preços'!$A415:$W415)&gt;0,IF(AND(ISNUMBER('Lista de Preços'!$L415),ISNUMBER('Lista de Preços'!$M415),'Lista de Preços'!$L415&gt;'Lista de Preços'!$M415),"ERRO","OK"),"")</f>
        <v/>
      </c>
      <c r="F426" s="27" t="str">
        <f aca="true">IF(COUNTA('Lista de Preços'!$A415:$W415)&gt;0,IF(AND('Lista de Preços'!$S415&lt;&gt;"",ISNUMBER('Lista de Preços'!$S415),'Lista de Preços'!$S415&lt;TODAY()),"ERRO","OK"),"")</f>
        <v/>
      </c>
      <c r="G426" s="27" t="str">
        <f aca="false">IF(COUNTA('Lista de Preços'!$A415:$W415)&gt;0,IF(AND('Lista de Preços'!$A415&lt;&gt;"",COUNTIF('Lista de Preços'!$A$4:$A$503,'Lista de Preços'!$A415)&gt;1),"ERRO","OK"),"")</f>
        <v/>
      </c>
      <c r="H426" s="27" t="str">
        <f aca="false">IF(COUNTA('Lista de Preços'!$A415:$W415)&gt;0,IF(AND('Lista de Preços'!$N415&lt;&gt;"",ISNUMBER('Lista de Preços'!$N415),OR('Lista de Preços'!$N415&lt;0,'Lista de Preços'!$N415&gt;0.5)),"ERRO","OK"),"")</f>
        <v/>
      </c>
      <c r="I426" s="27" t="str">
        <f aca="false">IF(COUNTA('Lista de Preços'!$A415:$W415)&gt;0,IF(OR($C426="ERRO",$D426="ERRO",$E426="ERRO",$F426="ERRO",$G426="ERRO",$H426="ERRO"),"FALHA","OK"),"")</f>
        <v/>
      </c>
    </row>
    <row r="427" customFormat="false" ht="15" hidden="false" customHeight="false" outlineLevel="0" collapsed="false">
      <c r="A427" s="26" t="n">
        <f aca="false">'Lista de Preços'!$A416</f>
        <v>0</v>
      </c>
      <c r="B427" s="26" t="n">
        <f aca="false">'Lista de Preços'!$B416</f>
        <v>0</v>
      </c>
      <c r="C427" s="27" t="str">
        <f aca="false">IF(COUNTA('Lista de Preços'!$A416:$W416)&gt;0,IF((COUNTBLANK('Lista de Preços'!$A416)+COUNTBLANK('Lista de Preços'!$B416)+COUNTBLANK('Lista de Preços'!$C416)+COUNTBLANK('Lista de Preços'!$D416)+COUNTBLANK('Lista de Preços'!$E416)+COUNTBLANK('Lista de Preços'!$F416)+COUNTBLANK('Lista de Preços'!$L416)+COUNTBLANK('Lista de Preços'!$M416)+COUNTBLANK('Lista de Preços'!$P416)+COUNTBLANK('Lista de Preços'!$U416)+COUNTBLANK('Lista de Preços'!$V416))&gt;0,"ERRO","OK"),"")</f>
        <v/>
      </c>
      <c r="D427" s="27" t="str">
        <f aca="false">IF(COUNTA('Lista de Preços'!$A416:$W416)&gt;0,IF(OR(AND('Lista de Preços'!$L416&lt;&gt;"",NOT(ISNUMBER('Lista de Preços'!$L416))),AND('Lista de Preços'!$M416&lt;&gt;"",NOT(ISNUMBER('Lista de Preços'!$M416)))),"ERRO","OK"),"")</f>
        <v/>
      </c>
      <c r="E427" s="27" t="str">
        <f aca="false">IF(COUNTA('Lista de Preços'!$A416:$W416)&gt;0,IF(AND(ISNUMBER('Lista de Preços'!$L416),ISNUMBER('Lista de Preços'!$M416),'Lista de Preços'!$L416&gt;'Lista de Preços'!$M416),"ERRO","OK"),"")</f>
        <v/>
      </c>
      <c r="F427" s="27" t="str">
        <f aca="true">IF(COUNTA('Lista de Preços'!$A416:$W416)&gt;0,IF(AND('Lista de Preços'!$S416&lt;&gt;"",ISNUMBER('Lista de Preços'!$S416),'Lista de Preços'!$S416&lt;TODAY()),"ERRO","OK"),"")</f>
        <v/>
      </c>
      <c r="G427" s="27" t="str">
        <f aca="false">IF(COUNTA('Lista de Preços'!$A416:$W416)&gt;0,IF(AND('Lista de Preços'!$A416&lt;&gt;"",COUNTIF('Lista de Preços'!$A$4:$A$503,'Lista de Preços'!$A416)&gt;1),"ERRO","OK"),"")</f>
        <v/>
      </c>
      <c r="H427" s="27" t="str">
        <f aca="false">IF(COUNTA('Lista de Preços'!$A416:$W416)&gt;0,IF(AND('Lista de Preços'!$N416&lt;&gt;"",ISNUMBER('Lista de Preços'!$N416),OR('Lista de Preços'!$N416&lt;0,'Lista de Preços'!$N416&gt;0.5)),"ERRO","OK"),"")</f>
        <v/>
      </c>
      <c r="I427" s="27" t="str">
        <f aca="false">IF(COUNTA('Lista de Preços'!$A416:$W416)&gt;0,IF(OR($C427="ERRO",$D427="ERRO",$E427="ERRO",$F427="ERRO",$G427="ERRO",$H427="ERRO"),"FALHA","OK"),"")</f>
        <v/>
      </c>
    </row>
    <row r="428" customFormat="false" ht="15" hidden="false" customHeight="false" outlineLevel="0" collapsed="false">
      <c r="A428" s="26" t="n">
        <f aca="false">'Lista de Preços'!$A417</f>
        <v>0</v>
      </c>
      <c r="B428" s="26" t="n">
        <f aca="false">'Lista de Preços'!$B417</f>
        <v>0</v>
      </c>
      <c r="C428" s="27" t="str">
        <f aca="false">IF(COUNTA('Lista de Preços'!$A417:$W417)&gt;0,IF((COUNTBLANK('Lista de Preços'!$A417)+COUNTBLANK('Lista de Preços'!$B417)+COUNTBLANK('Lista de Preços'!$C417)+COUNTBLANK('Lista de Preços'!$D417)+COUNTBLANK('Lista de Preços'!$E417)+COUNTBLANK('Lista de Preços'!$F417)+COUNTBLANK('Lista de Preços'!$L417)+COUNTBLANK('Lista de Preços'!$M417)+COUNTBLANK('Lista de Preços'!$P417)+COUNTBLANK('Lista de Preços'!$U417)+COUNTBLANK('Lista de Preços'!$V417))&gt;0,"ERRO","OK"),"")</f>
        <v/>
      </c>
      <c r="D428" s="27" t="str">
        <f aca="false">IF(COUNTA('Lista de Preços'!$A417:$W417)&gt;0,IF(OR(AND('Lista de Preços'!$L417&lt;&gt;"",NOT(ISNUMBER('Lista de Preços'!$L417))),AND('Lista de Preços'!$M417&lt;&gt;"",NOT(ISNUMBER('Lista de Preços'!$M417)))),"ERRO","OK"),"")</f>
        <v/>
      </c>
      <c r="E428" s="27" t="str">
        <f aca="false">IF(COUNTA('Lista de Preços'!$A417:$W417)&gt;0,IF(AND(ISNUMBER('Lista de Preços'!$L417),ISNUMBER('Lista de Preços'!$M417),'Lista de Preços'!$L417&gt;'Lista de Preços'!$M417),"ERRO","OK"),"")</f>
        <v/>
      </c>
      <c r="F428" s="27" t="str">
        <f aca="true">IF(COUNTA('Lista de Preços'!$A417:$W417)&gt;0,IF(AND('Lista de Preços'!$S417&lt;&gt;"",ISNUMBER('Lista de Preços'!$S417),'Lista de Preços'!$S417&lt;TODAY()),"ERRO","OK"),"")</f>
        <v/>
      </c>
      <c r="G428" s="27" t="str">
        <f aca="false">IF(COUNTA('Lista de Preços'!$A417:$W417)&gt;0,IF(AND('Lista de Preços'!$A417&lt;&gt;"",COUNTIF('Lista de Preços'!$A$4:$A$503,'Lista de Preços'!$A417)&gt;1),"ERRO","OK"),"")</f>
        <v/>
      </c>
      <c r="H428" s="27" t="str">
        <f aca="false">IF(COUNTA('Lista de Preços'!$A417:$W417)&gt;0,IF(AND('Lista de Preços'!$N417&lt;&gt;"",ISNUMBER('Lista de Preços'!$N417),OR('Lista de Preços'!$N417&lt;0,'Lista de Preços'!$N417&gt;0.5)),"ERRO","OK"),"")</f>
        <v/>
      </c>
      <c r="I428" s="27" t="str">
        <f aca="false">IF(COUNTA('Lista de Preços'!$A417:$W417)&gt;0,IF(OR($C428="ERRO",$D428="ERRO",$E428="ERRO",$F428="ERRO",$G428="ERRO",$H428="ERRO"),"FALHA","OK"),"")</f>
        <v/>
      </c>
    </row>
    <row r="429" customFormat="false" ht="15" hidden="false" customHeight="false" outlineLevel="0" collapsed="false">
      <c r="A429" s="26" t="n">
        <f aca="false">'Lista de Preços'!$A418</f>
        <v>0</v>
      </c>
      <c r="B429" s="26" t="n">
        <f aca="false">'Lista de Preços'!$B418</f>
        <v>0</v>
      </c>
      <c r="C429" s="27" t="str">
        <f aca="false">IF(COUNTA('Lista de Preços'!$A418:$W418)&gt;0,IF((COUNTBLANK('Lista de Preços'!$A418)+COUNTBLANK('Lista de Preços'!$B418)+COUNTBLANK('Lista de Preços'!$C418)+COUNTBLANK('Lista de Preços'!$D418)+COUNTBLANK('Lista de Preços'!$E418)+COUNTBLANK('Lista de Preços'!$F418)+COUNTBLANK('Lista de Preços'!$L418)+COUNTBLANK('Lista de Preços'!$M418)+COUNTBLANK('Lista de Preços'!$P418)+COUNTBLANK('Lista de Preços'!$U418)+COUNTBLANK('Lista de Preços'!$V418))&gt;0,"ERRO","OK"),"")</f>
        <v/>
      </c>
      <c r="D429" s="27" t="str">
        <f aca="false">IF(COUNTA('Lista de Preços'!$A418:$W418)&gt;0,IF(OR(AND('Lista de Preços'!$L418&lt;&gt;"",NOT(ISNUMBER('Lista de Preços'!$L418))),AND('Lista de Preços'!$M418&lt;&gt;"",NOT(ISNUMBER('Lista de Preços'!$M418)))),"ERRO","OK"),"")</f>
        <v/>
      </c>
      <c r="E429" s="27" t="str">
        <f aca="false">IF(COUNTA('Lista de Preços'!$A418:$W418)&gt;0,IF(AND(ISNUMBER('Lista de Preços'!$L418),ISNUMBER('Lista de Preços'!$M418),'Lista de Preços'!$L418&gt;'Lista de Preços'!$M418),"ERRO","OK"),"")</f>
        <v/>
      </c>
      <c r="F429" s="27" t="str">
        <f aca="true">IF(COUNTA('Lista de Preços'!$A418:$W418)&gt;0,IF(AND('Lista de Preços'!$S418&lt;&gt;"",ISNUMBER('Lista de Preços'!$S418),'Lista de Preços'!$S418&lt;TODAY()),"ERRO","OK"),"")</f>
        <v/>
      </c>
      <c r="G429" s="27" t="str">
        <f aca="false">IF(COUNTA('Lista de Preços'!$A418:$W418)&gt;0,IF(AND('Lista de Preços'!$A418&lt;&gt;"",COUNTIF('Lista de Preços'!$A$4:$A$503,'Lista de Preços'!$A418)&gt;1),"ERRO","OK"),"")</f>
        <v/>
      </c>
      <c r="H429" s="27" t="str">
        <f aca="false">IF(COUNTA('Lista de Preços'!$A418:$W418)&gt;0,IF(AND('Lista de Preços'!$N418&lt;&gt;"",ISNUMBER('Lista de Preços'!$N418),OR('Lista de Preços'!$N418&lt;0,'Lista de Preços'!$N418&gt;0.5)),"ERRO","OK"),"")</f>
        <v/>
      </c>
      <c r="I429" s="27" t="str">
        <f aca="false">IF(COUNTA('Lista de Preços'!$A418:$W418)&gt;0,IF(OR($C429="ERRO",$D429="ERRO",$E429="ERRO",$F429="ERRO",$G429="ERRO",$H429="ERRO"),"FALHA","OK"),"")</f>
        <v/>
      </c>
    </row>
    <row r="430" customFormat="false" ht="15" hidden="false" customHeight="false" outlineLevel="0" collapsed="false">
      <c r="A430" s="26" t="n">
        <f aca="false">'Lista de Preços'!$A419</f>
        <v>0</v>
      </c>
      <c r="B430" s="26" t="n">
        <f aca="false">'Lista de Preços'!$B419</f>
        <v>0</v>
      </c>
      <c r="C430" s="27" t="str">
        <f aca="false">IF(COUNTA('Lista de Preços'!$A419:$W419)&gt;0,IF((COUNTBLANK('Lista de Preços'!$A419)+COUNTBLANK('Lista de Preços'!$B419)+COUNTBLANK('Lista de Preços'!$C419)+COUNTBLANK('Lista de Preços'!$D419)+COUNTBLANK('Lista de Preços'!$E419)+COUNTBLANK('Lista de Preços'!$F419)+COUNTBLANK('Lista de Preços'!$L419)+COUNTBLANK('Lista de Preços'!$M419)+COUNTBLANK('Lista de Preços'!$P419)+COUNTBLANK('Lista de Preços'!$U419)+COUNTBLANK('Lista de Preços'!$V419))&gt;0,"ERRO","OK"),"")</f>
        <v/>
      </c>
      <c r="D430" s="27" t="str">
        <f aca="false">IF(COUNTA('Lista de Preços'!$A419:$W419)&gt;0,IF(OR(AND('Lista de Preços'!$L419&lt;&gt;"",NOT(ISNUMBER('Lista de Preços'!$L419))),AND('Lista de Preços'!$M419&lt;&gt;"",NOT(ISNUMBER('Lista de Preços'!$M419)))),"ERRO","OK"),"")</f>
        <v/>
      </c>
      <c r="E430" s="27" t="str">
        <f aca="false">IF(COUNTA('Lista de Preços'!$A419:$W419)&gt;0,IF(AND(ISNUMBER('Lista de Preços'!$L419),ISNUMBER('Lista de Preços'!$M419),'Lista de Preços'!$L419&gt;'Lista de Preços'!$M419),"ERRO","OK"),"")</f>
        <v/>
      </c>
      <c r="F430" s="27" t="str">
        <f aca="true">IF(COUNTA('Lista de Preços'!$A419:$W419)&gt;0,IF(AND('Lista de Preços'!$S419&lt;&gt;"",ISNUMBER('Lista de Preços'!$S419),'Lista de Preços'!$S419&lt;TODAY()),"ERRO","OK"),"")</f>
        <v/>
      </c>
      <c r="G430" s="27" t="str">
        <f aca="false">IF(COUNTA('Lista de Preços'!$A419:$W419)&gt;0,IF(AND('Lista de Preços'!$A419&lt;&gt;"",COUNTIF('Lista de Preços'!$A$4:$A$503,'Lista de Preços'!$A419)&gt;1),"ERRO","OK"),"")</f>
        <v/>
      </c>
      <c r="H430" s="27" t="str">
        <f aca="false">IF(COUNTA('Lista de Preços'!$A419:$W419)&gt;0,IF(AND('Lista de Preços'!$N419&lt;&gt;"",ISNUMBER('Lista de Preços'!$N419),OR('Lista de Preços'!$N419&lt;0,'Lista de Preços'!$N419&gt;0.5)),"ERRO","OK"),"")</f>
        <v/>
      </c>
      <c r="I430" s="27" t="str">
        <f aca="false">IF(COUNTA('Lista de Preços'!$A419:$W419)&gt;0,IF(OR($C430="ERRO",$D430="ERRO",$E430="ERRO",$F430="ERRO",$G430="ERRO",$H430="ERRO"),"FALHA","OK"),"")</f>
        <v/>
      </c>
    </row>
    <row r="431" customFormat="false" ht="15" hidden="false" customHeight="false" outlineLevel="0" collapsed="false">
      <c r="A431" s="26" t="n">
        <f aca="false">'Lista de Preços'!$A420</f>
        <v>0</v>
      </c>
      <c r="B431" s="26" t="n">
        <f aca="false">'Lista de Preços'!$B420</f>
        <v>0</v>
      </c>
      <c r="C431" s="27" t="str">
        <f aca="false">IF(COUNTA('Lista de Preços'!$A420:$W420)&gt;0,IF((COUNTBLANK('Lista de Preços'!$A420)+COUNTBLANK('Lista de Preços'!$B420)+COUNTBLANK('Lista de Preços'!$C420)+COUNTBLANK('Lista de Preços'!$D420)+COUNTBLANK('Lista de Preços'!$E420)+COUNTBLANK('Lista de Preços'!$F420)+COUNTBLANK('Lista de Preços'!$L420)+COUNTBLANK('Lista de Preços'!$M420)+COUNTBLANK('Lista de Preços'!$P420)+COUNTBLANK('Lista de Preços'!$U420)+COUNTBLANK('Lista de Preços'!$V420))&gt;0,"ERRO","OK"),"")</f>
        <v/>
      </c>
      <c r="D431" s="27" t="str">
        <f aca="false">IF(COUNTA('Lista de Preços'!$A420:$W420)&gt;0,IF(OR(AND('Lista de Preços'!$L420&lt;&gt;"",NOT(ISNUMBER('Lista de Preços'!$L420))),AND('Lista de Preços'!$M420&lt;&gt;"",NOT(ISNUMBER('Lista de Preços'!$M420)))),"ERRO","OK"),"")</f>
        <v/>
      </c>
      <c r="E431" s="27" t="str">
        <f aca="false">IF(COUNTA('Lista de Preços'!$A420:$W420)&gt;0,IF(AND(ISNUMBER('Lista de Preços'!$L420),ISNUMBER('Lista de Preços'!$M420),'Lista de Preços'!$L420&gt;'Lista de Preços'!$M420),"ERRO","OK"),"")</f>
        <v/>
      </c>
      <c r="F431" s="27" t="str">
        <f aca="true">IF(COUNTA('Lista de Preços'!$A420:$W420)&gt;0,IF(AND('Lista de Preços'!$S420&lt;&gt;"",ISNUMBER('Lista de Preços'!$S420),'Lista de Preços'!$S420&lt;TODAY()),"ERRO","OK"),"")</f>
        <v/>
      </c>
      <c r="G431" s="27" t="str">
        <f aca="false">IF(COUNTA('Lista de Preços'!$A420:$W420)&gt;0,IF(AND('Lista de Preços'!$A420&lt;&gt;"",COUNTIF('Lista de Preços'!$A$4:$A$503,'Lista de Preços'!$A420)&gt;1),"ERRO","OK"),"")</f>
        <v/>
      </c>
      <c r="H431" s="27" t="str">
        <f aca="false">IF(COUNTA('Lista de Preços'!$A420:$W420)&gt;0,IF(AND('Lista de Preços'!$N420&lt;&gt;"",ISNUMBER('Lista de Preços'!$N420),OR('Lista de Preços'!$N420&lt;0,'Lista de Preços'!$N420&gt;0.5)),"ERRO","OK"),"")</f>
        <v/>
      </c>
      <c r="I431" s="27" t="str">
        <f aca="false">IF(COUNTA('Lista de Preços'!$A420:$W420)&gt;0,IF(OR($C431="ERRO",$D431="ERRO",$E431="ERRO",$F431="ERRO",$G431="ERRO",$H431="ERRO"),"FALHA","OK"),"")</f>
        <v/>
      </c>
    </row>
    <row r="432" customFormat="false" ht="15" hidden="false" customHeight="false" outlineLevel="0" collapsed="false">
      <c r="A432" s="26" t="n">
        <f aca="false">'Lista de Preços'!$A421</f>
        <v>0</v>
      </c>
      <c r="B432" s="26" t="n">
        <f aca="false">'Lista de Preços'!$B421</f>
        <v>0</v>
      </c>
      <c r="C432" s="27" t="str">
        <f aca="false">IF(COUNTA('Lista de Preços'!$A421:$W421)&gt;0,IF((COUNTBLANK('Lista de Preços'!$A421)+COUNTBLANK('Lista de Preços'!$B421)+COUNTBLANK('Lista de Preços'!$C421)+COUNTBLANK('Lista de Preços'!$D421)+COUNTBLANK('Lista de Preços'!$E421)+COUNTBLANK('Lista de Preços'!$F421)+COUNTBLANK('Lista de Preços'!$L421)+COUNTBLANK('Lista de Preços'!$M421)+COUNTBLANK('Lista de Preços'!$P421)+COUNTBLANK('Lista de Preços'!$U421)+COUNTBLANK('Lista de Preços'!$V421))&gt;0,"ERRO","OK"),"")</f>
        <v/>
      </c>
      <c r="D432" s="27" t="str">
        <f aca="false">IF(COUNTA('Lista de Preços'!$A421:$W421)&gt;0,IF(OR(AND('Lista de Preços'!$L421&lt;&gt;"",NOT(ISNUMBER('Lista de Preços'!$L421))),AND('Lista de Preços'!$M421&lt;&gt;"",NOT(ISNUMBER('Lista de Preços'!$M421)))),"ERRO","OK"),"")</f>
        <v/>
      </c>
      <c r="E432" s="27" t="str">
        <f aca="false">IF(COUNTA('Lista de Preços'!$A421:$W421)&gt;0,IF(AND(ISNUMBER('Lista de Preços'!$L421),ISNUMBER('Lista de Preços'!$M421),'Lista de Preços'!$L421&gt;'Lista de Preços'!$M421),"ERRO","OK"),"")</f>
        <v/>
      </c>
      <c r="F432" s="27" t="str">
        <f aca="true">IF(COUNTA('Lista de Preços'!$A421:$W421)&gt;0,IF(AND('Lista de Preços'!$S421&lt;&gt;"",ISNUMBER('Lista de Preços'!$S421),'Lista de Preços'!$S421&lt;TODAY()),"ERRO","OK"),"")</f>
        <v/>
      </c>
      <c r="G432" s="27" t="str">
        <f aca="false">IF(COUNTA('Lista de Preços'!$A421:$W421)&gt;0,IF(AND('Lista de Preços'!$A421&lt;&gt;"",COUNTIF('Lista de Preços'!$A$4:$A$503,'Lista de Preços'!$A421)&gt;1),"ERRO","OK"),"")</f>
        <v/>
      </c>
      <c r="H432" s="27" t="str">
        <f aca="false">IF(COUNTA('Lista de Preços'!$A421:$W421)&gt;0,IF(AND('Lista de Preços'!$N421&lt;&gt;"",ISNUMBER('Lista de Preços'!$N421),OR('Lista de Preços'!$N421&lt;0,'Lista de Preços'!$N421&gt;0.5)),"ERRO","OK"),"")</f>
        <v/>
      </c>
      <c r="I432" s="27" t="str">
        <f aca="false">IF(COUNTA('Lista de Preços'!$A421:$W421)&gt;0,IF(OR($C432="ERRO",$D432="ERRO",$E432="ERRO",$F432="ERRO",$G432="ERRO",$H432="ERRO"),"FALHA","OK"),"")</f>
        <v/>
      </c>
    </row>
    <row r="433" customFormat="false" ht="15" hidden="false" customHeight="false" outlineLevel="0" collapsed="false">
      <c r="A433" s="26" t="n">
        <f aca="false">'Lista de Preços'!$A422</f>
        <v>0</v>
      </c>
      <c r="B433" s="26" t="n">
        <f aca="false">'Lista de Preços'!$B422</f>
        <v>0</v>
      </c>
      <c r="C433" s="27" t="str">
        <f aca="false">IF(COUNTA('Lista de Preços'!$A422:$W422)&gt;0,IF((COUNTBLANK('Lista de Preços'!$A422)+COUNTBLANK('Lista de Preços'!$B422)+COUNTBLANK('Lista de Preços'!$C422)+COUNTBLANK('Lista de Preços'!$D422)+COUNTBLANK('Lista de Preços'!$E422)+COUNTBLANK('Lista de Preços'!$F422)+COUNTBLANK('Lista de Preços'!$L422)+COUNTBLANK('Lista de Preços'!$M422)+COUNTBLANK('Lista de Preços'!$P422)+COUNTBLANK('Lista de Preços'!$U422)+COUNTBLANK('Lista de Preços'!$V422))&gt;0,"ERRO","OK"),"")</f>
        <v/>
      </c>
      <c r="D433" s="27" t="str">
        <f aca="false">IF(COUNTA('Lista de Preços'!$A422:$W422)&gt;0,IF(OR(AND('Lista de Preços'!$L422&lt;&gt;"",NOT(ISNUMBER('Lista de Preços'!$L422))),AND('Lista de Preços'!$M422&lt;&gt;"",NOT(ISNUMBER('Lista de Preços'!$M422)))),"ERRO","OK"),"")</f>
        <v/>
      </c>
      <c r="E433" s="27" t="str">
        <f aca="false">IF(COUNTA('Lista de Preços'!$A422:$W422)&gt;0,IF(AND(ISNUMBER('Lista de Preços'!$L422),ISNUMBER('Lista de Preços'!$M422),'Lista de Preços'!$L422&gt;'Lista de Preços'!$M422),"ERRO","OK"),"")</f>
        <v/>
      </c>
      <c r="F433" s="27" t="str">
        <f aca="true">IF(COUNTA('Lista de Preços'!$A422:$W422)&gt;0,IF(AND('Lista de Preços'!$S422&lt;&gt;"",ISNUMBER('Lista de Preços'!$S422),'Lista de Preços'!$S422&lt;TODAY()),"ERRO","OK"),"")</f>
        <v/>
      </c>
      <c r="G433" s="27" t="str">
        <f aca="false">IF(COUNTA('Lista de Preços'!$A422:$W422)&gt;0,IF(AND('Lista de Preços'!$A422&lt;&gt;"",COUNTIF('Lista de Preços'!$A$4:$A$503,'Lista de Preços'!$A422)&gt;1),"ERRO","OK"),"")</f>
        <v/>
      </c>
      <c r="H433" s="27" t="str">
        <f aca="false">IF(COUNTA('Lista de Preços'!$A422:$W422)&gt;0,IF(AND('Lista de Preços'!$N422&lt;&gt;"",ISNUMBER('Lista de Preços'!$N422),OR('Lista de Preços'!$N422&lt;0,'Lista de Preços'!$N422&gt;0.5)),"ERRO","OK"),"")</f>
        <v/>
      </c>
      <c r="I433" s="27" t="str">
        <f aca="false">IF(COUNTA('Lista de Preços'!$A422:$W422)&gt;0,IF(OR($C433="ERRO",$D433="ERRO",$E433="ERRO",$F433="ERRO",$G433="ERRO",$H433="ERRO"),"FALHA","OK"),"")</f>
        <v/>
      </c>
    </row>
    <row r="434" customFormat="false" ht="15" hidden="false" customHeight="false" outlineLevel="0" collapsed="false">
      <c r="A434" s="26" t="n">
        <f aca="false">'Lista de Preços'!$A423</f>
        <v>0</v>
      </c>
      <c r="B434" s="26" t="n">
        <f aca="false">'Lista de Preços'!$B423</f>
        <v>0</v>
      </c>
      <c r="C434" s="27" t="str">
        <f aca="false">IF(COUNTA('Lista de Preços'!$A423:$W423)&gt;0,IF((COUNTBLANK('Lista de Preços'!$A423)+COUNTBLANK('Lista de Preços'!$B423)+COUNTBLANK('Lista de Preços'!$C423)+COUNTBLANK('Lista de Preços'!$D423)+COUNTBLANK('Lista de Preços'!$E423)+COUNTBLANK('Lista de Preços'!$F423)+COUNTBLANK('Lista de Preços'!$L423)+COUNTBLANK('Lista de Preços'!$M423)+COUNTBLANK('Lista de Preços'!$P423)+COUNTBLANK('Lista de Preços'!$U423)+COUNTBLANK('Lista de Preços'!$V423))&gt;0,"ERRO","OK"),"")</f>
        <v/>
      </c>
      <c r="D434" s="27" t="str">
        <f aca="false">IF(COUNTA('Lista de Preços'!$A423:$W423)&gt;0,IF(OR(AND('Lista de Preços'!$L423&lt;&gt;"",NOT(ISNUMBER('Lista de Preços'!$L423))),AND('Lista de Preços'!$M423&lt;&gt;"",NOT(ISNUMBER('Lista de Preços'!$M423)))),"ERRO","OK"),"")</f>
        <v/>
      </c>
      <c r="E434" s="27" t="str">
        <f aca="false">IF(COUNTA('Lista de Preços'!$A423:$W423)&gt;0,IF(AND(ISNUMBER('Lista de Preços'!$L423),ISNUMBER('Lista de Preços'!$M423),'Lista de Preços'!$L423&gt;'Lista de Preços'!$M423),"ERRO","OK"),"")</f>
        <v/>
      </c>
      <c r="F434" s="27" t="str">
        <f aca="true">IF(COUNTA('Lista de Preços'!$A423:$W423)&gt;0,IF(AND('Lista de Preços'!$S423&lt;&gt;"",ISNUMBER('Lista de Preços'!$S423),'Lista de Preços'!$S423&lt;TODAY()),"ERRO","OK"),"")</f>
        <v/>
      </c>
      <c r="G434" s="27" t="str">
        <f aca="false">IF(COUNTA('Lista de Preços'!$A423:$W423)&gt;0,IF(AND('Lista de Preços'!$A423&lt;&gt;"",COUNTIF('Lista de Preços'!$A$4:$A$503,'Lista de Preços'!$A423)&gt;1),"ERRO","OK"),"")</f>
        <v/>
      </c>
      <c r="H434" s="27" t="str">
        <f aca="false">IF(COUNTA('Lista de Preços'!$A423:$W423)&gt;0,IF(AND('Lista de Preços'!$N423&lt;&gt;"",ISNUMBER('Lista de Preços'!$N423),OR('Lista de Preços'!$N423&lt;0,'Lista de Preços'!$N423&gt;0.5)),"ERRO","OK"),"")</f>
        <v/>
      </c>
      <c r="I434" s="27" t="str">
        <f aca="false">IF(COUNTA('Lista de Preços'!$A423:$W423)&gt;0,IF(OR($C434="ERRO",$D434="ERRO",$E434="ERRO",$F434="ERRO",$G434="ERRO",$H434="ERRO"),"FALHA","OK"),"")</f>
        <v/>
      </c>
    </row>
    <row r="435" customFormat="false" ht="15" hidden="false" customHeight="false" outlineLevel="0" collapsed="false">
      <c r="A435" s="26" t="n">
        <f aca="false">'Lista de Preços'!$A424</f>
        <v>0</v>
      </c>
      <c r="B435" s="26" t="n">
        <f aca="false">'Lista de Preços'!$B424</f>
        <v>0</v>
      </c>
      <c r="C435" s="27" t="str">
        <f aca="false">IF(COUNTA('Lista de Preços'!$A424:$W424)&gt;0,IF((COUNTBLANK('Lista de Preços'!$A424)+COUNTBLANK('Lista de Preços'!$B424)+COUNTBLANK('Lista de Preços'!$C424)+COUNTBLANK('Lista de Preços'!$D424)+COUNTBLANK('Lista de Preços'!$E424)+COUNTBLANK('Lista de Preços'!$F424)+COUNTBLANK('Lista de Preços'!$L424)+COUNTBLANK('Lista de Preços'!$M424)+COUNTBLANK('Lista de Preços'!$P424)+COUNTBLANK('Lista de Preços'!$U424)+COUNTBLANK('Lista de Preços'!$V424))&gt;0,"ERRO","OK"),"")</f>
        <v/>
      </c>
      <c r="D435" s="27" t="str">
        <f aca="false">IF(COUNTA('Lista de Preços'!$A424:$W424)&gt;0,IF(OR(AND('Lista de Preços'!$L424&lt;&gt;"",NOT(ISNUMBER('Lista de Preços'!$L424))),AND('Lista de Preços'!$M424&lt;&gt;"",NOT(ISNUMBER('Lista de Preços'!$M424)))),"ERRO","OK"),"")</f>
        <v/>
      </c>
      <c r="E435" s="27" t="str">
        <f aca="false">IF(COUNTA('Lista de Preços'!$A424:$W424)&gt;0,IF(AND(ISNUMBER('Lista de Preços'!$L424),ISNUMBER('Lista de Preços'!$M424),'Lista de Preços'!$L424&gt;'Lista de Preços'!$M424),"ERRO","OK"),"")</f>
        <v/>
      </c>
      <c r="F435" s="27" t="str">
        <f aca="true">IF(COUNTA('Lista de Preços'!$A424:$W424)&gt;0,IF(AND('Lista de Preços'!$S424&lt;&gt;"",ISNUMBER('Lista de Preços'!$S424),'Lista de Preços'!$S424&lt;TODAY()),"ERRO","OK"),"")</f>
        <v/>
      </c>
      <c r="G435" s="27" t="str">
        <f aca="false">IF(COUNTA('Lista de Preços'!$A424:$W424)&gt;0,IF(AND('Lista de Preços'!$A424&lt;&gt;"",COUNTIF('Lista de Preços'!$A$4:$A$503,'Lista de Preços'!$A424)&gt;1),"ERRO","OK"),"")</f>
        <v/>
      </c>
      <c r="H435" s="27" t="str">
        <f aca="false">IF(COUNTA('Lista de Preços'!$A424:$W424)&gt;0,IF(AND('Lista de Preços'!$N424&lt;&gt;"",ISNUMBER('Lista de Preços'!$N424),OR('Lista de Preços'!$N424&lt;0,'Lista de Preços'!$N424&gt;0.5)),"ERRO","OK"),"")</f>
        <v/>
      </c>
      <c r="I435" s="27" t="str">
        <f aca="false">IF(COUNTA('Lista de Preços'!$A424:$W424)&gt;0,IF(OR($C435="ERRO",$D435="ERRO",$E435="ERRO",$F435="ERRO",$G435="ERRO",$H435="ERRO"),"FALHA","OK"),"")</f>
        <v/>
      </c>
    </row>
    <row r="436" customFormat="false" ht="15" hidden="false" customHeight="false" outlineLevel="0" collapsed="false">
      <c r="A436" s="26" t="n">
        <f aca="false">'Lista de Preços'!$A425</f>
        <v>0</v>
      </c>
      <c r="B436" s="26" t="n">
        <f aca="false">'Lista de Preços'!$B425</f>
        <v>0</v>
      </c>
      <c r="C436" s="27" t="str">
        <f aca="false">IF(COUNTA('Lista de Preços'!$A425:$W425)&gt;0,IF((COUNTBLANK('Lista de Preços'!$A425)+COUNTBLANK('Lista de Preços'!$B425)+COUNTBLANK('Lista de Preços'!$C425)+COUNTBLANK('Lista de Preços'!$D425)+COUNTBLANK('Lista de Preços'!$E425)+COUNTBLANK('Lista de Preços'!$F425)+COUNTBLANK('Lista de Preços'!$L425)+COUNTBLANK('Lista de Preços'!$M425)+COUNTBLANK('Lista de Preços'!$P425)+COUNTBLANK('Lista de Preços'!$U425)+COUNTBLANK('Lista de Preços'!$V425))&gt;0,"ERRO","OK"),"")</f>
        <v/>
      </c>
      <c r="D436" s="27" t="str">
        <f aca="false">IF(COUNTA('Lista de Preços'!$A425:$W425)&gt;0,IF(OR(AND('Lista de Preços'!$L425&lt;&gt;"",NOT(ISNUMBER('Lista de Preços'!$L425))),AND('Lista de Preços'!$M425&lt;&gt;"",NOT(ISNUMBER('Lista de Preços'!$M425)))),"ERRO","OK"),"")</f>
        <v/>
      </c>
      <c r="E436" s="27" t="str">
        <f aca="false">IF(COUNTA('Lista de Preços'!$A425:$W425)&gt;0,IF(AND(ISNUMBER('Lista de Preços'!$L425),ISNUMBER('Lista de Preços'!$M425),'Lista de Preços'!$L425&gt;'Lista de Preços'!$M425),"ERRO","OK"),"")</f>
        <v/>
      </c>
      <c r="F436" s="27" t="str">
        <f aca="true">IF(COUNTA('Lista de Preços'!$A425:$W425)&gt;0,IF(AND('Lista de Preços'!$S425&lt;&gt;"",ISNUMBER('Lista de Preços'!$S425),'Lista de Preços'!$S425&lt;TODAY()),"ERRO","OK"),"")</f>
        <v/>
      </c>
      <c r="G436" s="27" t="str">
        <f aca="false">IF(COUNTA('Lista de Preços'!$A425:$W425)&gt;0,IF(AND('Lista de Preços'!$A425&lt;&gt;"",COUNTIF('Lista de Preços'!$A$4:$A$503,'Lista de Preços'!$A425)&gt;1),"ERRO","OK"),"")</f>
        <v/>
      </c>
      <c r="H436" s="27" t="str">
        <f aca="false">IF(COUNTA('Lista de Preços'!$A425:$W425)&gt;0,IF(AND('Lista de Preços'!$N425&lt;&gt;"",ISNUMBER('Lista de Preços'!$N425),OR('Lista de Preços'!$N425&lt;0,'Lista de Preços'!$N425&gt;0.5)),"ERRO","OK"),"")</f>
        <v/>
      </c>
      <c r="I436" s="27" t="str">
        <f aca="false">IF(COUNTA('Lista de Preços'!$A425:$W425)&gt;0,IF(OR($C436="ERRO",$D436="ERRO",$E436="ERRO",$F436="ERRO",$G436="ERRO",$H436="ERRO"),"FALHA","OK"),"")</f>
        <v/>
      </c>
    </row>
    <row r="437" customFormat="false" ht="15" hidden="false" customHeight="false" outlineLevel="0" collapsed="false">
      <c r="A437" s="26" t="n">
        <f aca="false">'Lista de Preços'!$A426</f>
        <v>0</v>
      </c>
      <c r="B437" s="26" t="n">
        <f aca="false">'Lista de Preços'!$B426</f>
        <v>0</v>
      </c>
      <c r="C437" s="27" t="str">
        <f aca="false">IF(COUNTA('Lista de Preços'!$A426:$W426)&gt;0,IF((COUNTBLANK('Lista de Preços'!$A426)+COUNTBLANK('Lista de Preços'!$B426)+COUNTBLANK('Lista de Preços'!$C426)+COUNTBLANK('Lista de Preços'!$D426)+COUNTBLANK('Lista de Preços'!$E426)+COUNTBLANK('Lista de Preços'!$F426)+COUNTBLANK('Lista de Preços'!$L426)+COUNTBLANK('Lista de Preços'!$M426)+COUNTBLANK('Lista de Preços'!$P426)+COUNTBLANK('Lista de Preços'!$U426)+COUNTBLANK('Lista de Preços'!$V426))&gt;0,"ERRO","OK"),"")</f>
        <v/>
      </c>
      <c r="D437" s="27" t="str">
        <f aca="false">IF(COUNTA('Lista de Preços'!$A426:$W426)&gt;0,IF(OR(AND('Lista de Preços'!$L426&lt;&gt;"",NOT(ISNUMBER('Lista de Preços'!$L426))),AND('Lista de Preços'!$M426&lt;&gt;"",NOT(ISNUMBER('Lista de Preços'!$M426)))),"ERRO","OK"),"")</f>
        <v/>
      </c>
      <c r="E437" s="27" t="str">
        <f aca="false">IF(COUNTA('Lista de Preços'!$A426:$W426)&gt;0,IF(AND(ISNUMBER('Lista de Preços'!$L426),ISNUMBER('Lista de Preços'!$M426),'Lista de Preços'!$L426&gt;'Lista de Preços'!$M426),"ERRO","OK"),"")</f>
        <v/>
      </c>
      <c r="F437" s="27" t="str">
        <f aca="true">IF(COUNTA('Lista de Preços'!$A426:$W426)&gt;0,IF(AND('Lista de Preços'!$S426&lt;&gt;"",ISNUMBER('Lista de Preços'!$S426),'Lista de Preços'!$S426&lt;TODAY()),"ERRO","OK"),"")</f>
        <v/>
      </c>
      <c r="G437" s="27" t="str">
        <f aca="false">IF(COUNTA('Lista de Preços'!$A426:$W426)&gt;0,IF(AND('Lista de Preços'!$A426&lt;&gt;"",COUNTIF('Lista de Preços'!$A$4:$A$503,'Lista de Preços'!$A426)&gt;1),"ERRO","OK"),"")</f>
        <v/>
      </c>
      <c r="H437" s="27" t="str">
        <f aca="false">IF(COUNTA('Lista de Preços'!$A426:$W426)&gt;0,IF(AND('Lista de Preços'!$N426&lt;&gt;"",ISNUMBER('Lista de Preços'!$N426),OR('Lista de Preços'!$N426&lt;0,'Lista de Preços'!$N426&gt;0.5)),"ERRO","OK"),"")</f>
        <v/>
      </c>
      <c r="I437" s="27" t="str">
        <f aca="false">IF(COUNTA('Lista de Preços'!$A426:$W426)&gt;0,IF(OR($C437="ERRO",$D437="ERRO",$E437="ERRO",$F437="ERRO",$G437="ERRO",$H437="ERRO"),"FALHA","OK"),"")</f>
        <v/>
      </c>
    </row>
    <row r="438" customFormat="false" ht="15" hidden="false" customHeight="false" outlineLevel="0" collapsed="false">
      <c r="A438" s="26" t="n">
        <f aca="false">'Lista de Preços'!$A427</f>
        <v>0</v>
      </c>
      <c r="B438" s="26" t="n">
        <f aca="false">'Lista de Preços'!$B427</f>
        <v>0</v>
      </c>
      <c r="C438" s="27" t="str">
        <f aca="false">IF(COUNTA('Lista de Preços'!$A427:$W427)&gt;0,IF((COUNTBLANK('Lista de Preços'!$A427)+COUNTBLANK('Lista de Preços'!$B427)+COUNTBLANK('Lista de Preços'!$C427)+COUNTBLANK('Lista de Preços'!$D427)+COUNTBLANK('Lista de Preços'!$E427)+COUNTBLANK('Lista de Preços'!$F427)+COUNTBLANK('Lista de Preços'!$L427)+COUNTBLANK('Lista de Preços'!$M427)+COUNTBLANK('Lista de Preços'!$P427)+COUNTBLANK('Lista de Preços'!$U427)+COUNTBLANK('Lista de Preços'!$V427))&gt;0,"ERRO","OK"),"")</f>
        <v/>
      </c>
      <c r="D438" s="27" t="str">
        <f aca="false">IF(COUNTA('Lista de Preços'!$A427:$W427)&gt;0,IF(OR(AND('Lista de Preços'!$L427&lt;&gt;"",NOT(ISNUMBER('Lista de Preços'!$L427))),AND('Lista de Preços'!$M427&lt;&gt;"",NOT(ISNUMBER('Lista de Preços'!$M427)))),"ERRO","OK"),"")</f>
        <v/>
      </c>
      <c r="E438" s="27" t="str">
        <f aca="false">IF(COUNTA('Lista de Preços'!$A427:$W427)&gt;0,IF(AND(ISNUMBER('Lista de Preços'!$L427),ISNUMBER('Lista de Preços'!$M427),'Lista de Preços'!$L427&gt;'Lista de Preços'!$M427),"ERRO","OK"),"")</f>
        <v/>
      </c>
      <c r="F438" s="27" t="str">
        <f aca="true">IF(COUNTA('Lista de Preços'!$A427:$W427)&gt;0,IF(AND('Lista de Preços'!$S427&lt;&gt;"",ISNUMBER('Lista de Preços'!$S427),'Lista de Preços'!$S427&lt;TODAY()),"ERRO","OK"),"")</f>
        <v/>
      </c>
      <c r="G438" s="27" t="str">
        <f aca="false">IF(COUNTA('Lista de Preços'!$A427:$W427)&gt;0,IF(AND('Lista de Preços'!$A427&lt;&gt;"",COUNTIF('Lista de Preços'!$A$4:$A$503,'Lista de Preços'!$A427)&gt;1),"ERRO","OK"),"")</f>
        <v/>
      </c>
      <c r="H438" s="27" t="str">
        <f aca="false">IF(COUNTA('Lista de Preços'!$A427:$W427)&gt;0,IF(AND('Lista de Preços'!$N427&lt;&gt;"",ISNUMBER('Lista de Preços'!$N427),OR('Lista de Preços'!$N427&lt;0,'Lista de Preços'!$N427&gt;0.5)),"ERRO","OK"),"")</f>
        <v/>
      </c>
      <c r="I438" s="27" t="str">
        <f aca="false">IF(COUNTA('Lista de Preços'!$A427:$W427)&gt;0,IF(OR($C438="ERRO",$D438="ERRO",$E438="ERRO",$F438="ERRO",$G438="ERRO",$H438="ERRO"),"FALHA","OK"),"")</f>
        <v/>
      </c>
    </row>
    <row r="439" customFormat="false" ht="15" hidden="false" customHeight="false" outlineLevel="0" collapsed="false">
      <c r="A439" s="26" t="n">
        <f aca="false">'Lista de Preços'!$A428</f>
        <v>0</v>
      </c>
      <c r="B439" s="26" t="n">
        <f aca="false">'Lista de Preços'!$B428</f>
        <v>0</v>
      </c>
      <c r="C439" s="27" t="str">
        <f aca="false">IF(COUNTA('Lista de Preços'!$A428:$W428)&gt;0,IF((COUNTBLANK('Lista de Preços'!$A428)+COUNTBLANK('Lista de Preços'!$B428)+COUNTBLANK('Lista de Preços'!$C428)+COUNTBLANK('Lista de Preços'!$D428)+COUNTBLANK('Lista de Preços'!$E428)+COUNTBLANK('Lista de Preços'!$F428)+COUNTBLANK('Lista de Preços'!$L428)+COUNTBLANK('Lista de Preços'!$M428)+COUNTBLANK('Lista de Preços'!$P428)+COUNTBLANK('Lista de Preços'!$U428)+COUNTBLANK('Lista de Preços'!$V428))&gt;0,"ERRO","OK"),"")</f>
        <v/>
      </c>
      <c r="D439" s="27" t="str">
        <f aca="false">IF(COUNTA('Lista de Preços'!$A428:$W428)&gt;0,IF(OR(AND('Lista de Preços'!$L428&lt;&gt;"",NOT(ISNUMBER('Lista de Preços'!$L428))),AND('Lista de Preços'!$M428&lt;&gt;"",NOT(ISNUMBER('Lista de Preços'!$M428)))),"ERRO","OK"),"")</f>
        <v/>
      </c>
      <c r="E439" s="27" t="str">
        <f aca="false">IF(COUNTA('Lista de Preços'!$A428:$W428)&gt;0,IF(AND(ISNUMBER('Lista de Preços'!$L428),ISNUMBER('Lista de Preços'!$M428),'Lista de Preços'!$L428&gt;'Lista de Preços'!$M428),"ERRO","OK"),"")</f>
        <v/>
      </c>
      <c r="F439" s="27" t="str">
        <f aca="true">IF(COUNTA('Lista de Preços'!$A428:$W428)&gt;0,IF(AND('Lista de Preços'!$S428&lt;&gt;"",ISNUMBER('Lista de Preços'!$S428),'Lista de Preços'!$S428&lt;TODAY()),"ERRO","OK"),"")</f>
        <v/>
      </c>
      <c r="G439" s="27" t="str">
        <f aca="false">IF(COUNTA('Lista de Preços'!$A428:$W428)&gt;0,IF(AND('Lista de Preços'!$A428&lt;&gt;"",COUNTIF('Lista de Preços'!$A$4:$A$503,'Lista de Preços'!$A428)&gt;1),"ERRO","OK"),"")</f>
        <v/>
      </c>
      <c r="H439" s="27" t="str">
        <f aca="false">IF(COUNTA('Lista de Preços'!$A428:$W428)&gt;0,IF(AND('Lista de Preços'!$N428&lt;&gt;"",ISNUMBER('Lista de Preços'!$N428),OR('Lista de Preços'!$N428&lt;0,'Lista de Preços'!$N428&gt;0.5)),"ERRO","OK"),"")</f>
        <v/>
      </c>
      <c r="I439" s="27" t="str">
        <f aca="false">IF(COUNTA('Lista de Preços'!$A428:$W428)&gt;0,IF(OR($C439="ERRO",$D439="ERRO",$E439="ERRO",$F439="ERRO",$G439="ERRO",$H439="ERRO"),"FALHA","OK"),"")</f>
        <v/>
      </c>
    </row>
    <row r="440" customFormat="false" ht="15" hidden="false" customHeight="false" outlineLevel="0" collapsed="false">
      <c r="A440" s="26" t="n">
        <f aca="false">'Lista de Preços'!$A429</f>
        <v>0</v>
      </c>
      <c r="B440" s="26" t="n">
        <f aca="false">'Lista de Preços'!$B429</f>
        <v>0</v>
      </c>
      <c r="C440" s="27" t="str">
        <f aca="false">IF(COUNTA('Lista de Preços'!$A429:$W429)&gt;0,IF((COUNTBLANK('Lista de Preços'!$A429)+COUNTBLANK('Lista de Preços'!$B429)+COUNTBLANK('Lista de Preços'!$C429)+COUNTBLANK('Lista de Preços'!$D429)+COUNTBLANK('Lista de Preços'!$E429)+COUNTBLANK('Lista de Preços'!$F429)+COUNTBLANK('Lista de Preços'!$L429)+COUNTBLANK('Lista de Preços'!$M429)+COUNTBLANK('Lista de Preços'!$P429)+COUNTBLANK('Lista de Preços'!$U429)+COUNTBLANK('Lista de Preços'!$V429))&gt;0,"ERRO","OK"),"")</f>
        <v/>
      </c>
      <c r="D440" s="27" t="str">
        <f aca="false">IF(COUNTA('Lista de Preços'!$A429:$W429)&gt;0,IF(OR(AND('Lista de Preços'!$L429&lt;&gt;"",NOT(ISNUMBER('Lista de Preços'!$L429))),AND('Lista de Preços'!$M429&lt;&gt;"",NOT(ISNUMBER('Lista de Preços'!$M429)))),"ERRO","OK"),"")</f>
        <v/>
      </c>
      <c r="E440" s="27" t="str">
        <f aca="false">IF(COUNTA('Lista de Preços'!$A429:$W429)&gt;0,IF(AND(ISNUMBER('Lista de Preços'!$L429),ISNUMBER('Lista de Preços'!$M429),'Lista de Preços'!$L429&gt;'Lista de Preços'!$M429),"ERRO","OK"),"")</f>
        <v/>
      </c>
      <c r="F440" s="27" t="str">
        <f aca="true">IF(COUNTA('Lista de Preços'!$A429:$W429)&gt;0,IF(AND('Lista de Preços'!$S429&lt;&gt;"",ISNUMBER('Lista de Preços'!$S429),'Lista de Preços'!$S429&lt;TODAY()),"ERRO","OK"),"")</f>
        <v/>
      </c>
      <c r="G440" s="27" t="str">
        <f aca="false">IF(COUNTA('Lista de Preços'!$A429:$W429)&gt;0,IF(AND('Lista de Preços'!$A429&lt;&gt;"",COUNTIF('Lista de Preços'!$A$4:$A$503,'Lista de Preços'!$A429)&gt;1),"ERRO","OK"),"")</f>
        <v/>
      </c>
      <c r="H440" s="27" t="str">
        <f aca="false">IF(COUNTA('Lista de Preços'!$A429:$W429)&gt;0,IF(AND('Lista de Preços'!$N429&lt;&gt;"",ISNUMBER('Lista de Preços'!$N429),OR('Lista de Preços'!$N429&lt;0,'Lista de Preços'!$N429&gt;0.5)),"ERRO","OK"),"")</f>
        <v/>
      </c>
      <c r="I440" s="27" t="str">
        <f aca="false">IF(COUNTA('Lista de Preços'!$A429:$W429)&gt;0,IF(OR($C440="ERRO",$D440="ERRO",$E440="ERRO",$F440="ERRO",$G440="ERRO",$H440="ERRO"),"FALHA","OK"),"")</f>
        <v/>
      </c>
    </row>
    <row r="441" customFormat="false" ht="15" hidden="false" customHeight="false" outlineLevel="0" collapsed="false">
      <c r="A441" s="26" t="n">
        <f aca="false">'Lista de Preços'!$A430</f>
        <v>0</v>
      </c>
      <c r="B441" s="26" t="n">
        <f aca="false">'Lista de Preços'!$B430</f>
        <v>0</v>
      </c>
      <c r="C441" s="27" t="str">
        <f aca="false">IF(COUNTA('Lista de Preços'!$A430:$W430)&gt;0,IF((COUNTBLANK('Lista de Preços'!$A430)+COUNTBLANK('Lista de Preços'!$B430)+COUNTBLANK('Lista de Preços'!$C430)+COUNTBLANK('Lista de Preços'!$D430)+COUNTBLANK('Lista de Preços'!$E430)+COUNTBLANK('Lista de Preços'!$F430)+COUNTBLANK('Lista de Preços'!$L430)+COUNTBLANK('Lista de Preços'!$M430)+COUNTBLANK('Lista de Preços'!$P430)+COUNTBLANK('Lista de Preços'!$U430)+COUNTBLANK('Lista de Preços'!$V430))&gt;0,"ERRO","OK"),"")</f>
        <v/>
      </c>
      <c r="D441" s="27" t="str">
        <f aca="false">IF(COUNTA('Lista de Preços'!$A430:$W430)&gt;0,IF(OR(AND('Lista de Preços'!$L430&lt;&gt;"",NOT(ISNUMBER('Lista de Preços'!$L430))),AND('Lista de Preços'!$M430&lt;&gt;"",NOT(ISNUMBER('Lista de Preços'!$M430)))),"ERRO","OK"),"")</f>
        <v/>
      </c>
      <c r="E441" s="27" t="str">
        <f aca="false">IF(COUNTA('Lista de Preços'!$A430:$W430)&gt;0,IF(AND(ISNUMBER('Lista de Preços'!$L430),ISNUMBER('Lista de Preços'!$M430),'Lista de Preços'!$L430&gt;'Lista de Preços'!$M430),"ERRO","OK"),"")</f>
        <v/>
      </c>
      <c r="F441" s="27" t="str">
        <f aca="true">IF(COUNTA('Lista de Preços'!$A430:$W430)&gt;0,IF(AND('Lista de Preços'!$S430&lt;&gt;"",ISNUMBER('Lista de Preços'!$S430),'Lista de Preços'!$S430&lt;TODAY()),"ERRO","OK"),"")</f>
        <v/>
      </c>
      <c r="G441" s="27" t="str">
        <f aca="false">IF(COUNTA('Lista de Preços'!$A430:$W430)&gt;0,IF(AND('Lista de Preços'!$A430&lt;&gt;"",COUNTIF('Lista de Preços'!$A$4:$A$503,'Lista de Preços'!$A430)&gt;1),"ERRO","OK"),"")</f>
        <v/>
      </c>
      <c r="H441" s="27" t="str">
        <f aca="false">IF(COUNTA('Lista de Preços'!$A430:$W430)&gt;0,IF(AND('Lista de Preços'!$N430&lt;&gt;"",ISNUMBER('Lista de Preços'!$N430),OR('Lista de Preços'!$N430&lt;0,'Lista de Preços'!$N430&gt;0.5)),"ERRO","OK"),"")</f>
        <v/>
      </c>
      <c r="I441" s="27" t="str">
        <f aca="false">IF(COUNTA('Lista de Preços'!$A430:$W430)&gt;0,IF(OR($C441="ERRO",$D441="ERRO",$E441="ERRO",$F441="ERRO",$G441="ERRO",$H441="ERRO"),"FALHA","OK"),"")</f>
        <v/>
      </c>
    </row>
    <row r="442" customFormat="false" ht="15" hidden="false" customHeight="false" outlineLevel="0" collapsed="false">
      <c r="A442" s="26" t="n">
        <f aca="false">'Lista de Preços'!$A431</f>
        <v>0</v>
      </c>
      <c r="B442" s="26" t="n">
        <f aca="false">'Lista de Preços'!$B431</f>
        <v>0</v>
      </c>
      <c r="C442" s="27" t="str">
        <f aca="false">IF(COUNTA('Lista de Preços'!$A431:$W431)&gt;0,IF((COUNTBLANK('Lista de Preços'!$A431)+COUNTBLANK('Lista de Preços'!$B431)+COUNTBLANK('Lista de Preços'!$C431)+COUNTBLANK('Lista de Preços'!$D431)+COUNTBLANK('Lista de Preços'!$E431)+COUNTBLANK('Lista de Preços'!$F431)+COUNTBLANK('Lista de Preços'!$L431)+COUNTBLANK('Lista de Preços'!$M431)+COUNTBLANK('Lista de Preços'!$P431)+COUNTBLANK('Lista de Preços'!$U431)+COUNTBLANK('Lista de Preços'!$V431))&gt;0,"ERRO","OK"),"")</f>
        <v/>
      </c>
      <c r="D442" s="27" t="str">
        <f aca="false">IF(COUNTA('Lista de Preços'!$A431:$W431)&gt;0,IF(OR(AND('Lista de Preços'!$L431&lt;&gt;"",NOT(ISNUMBER('Lista de Preços'!$L431))),AND('Lista de Preços'!$M431&lt;&gt;"",NOT(ISNUMBER('Lista de Preços'!$M431)))),"ERRO","OK"),"")</f>
        <v/>
      </c>
      <c r="E442" s="27" t="str">
        <f aca="false">IF(COUNTA('Lista de Preços'!$A431:$W431)&gt;0,IF(AND(ISNUMBER('Lista de Preços'!$L431),ISNUMBER('Lista de Preços'!$M431),'Lista de Preços'!$L431&gt;'Lista de Preços'!$M431),"ERRO","OK"),"")</f>
        <v/>
      </c>
      <c r="F442" s="27" t="str">
        <f aca="true">IF(COUNTA('Lista de Preços'!$A431:$W431)&gt;0,IF(AND('Lista de Preços'!$S431&lt;&gt;"",ISNUMBER('Lista de Preços'!$S431),'Lista de Preços'!$S431&lt;TODAY()),"ERRO","OK"),"")</f>
        <v/>
      </c>
      <c r="G442" s="27" t="str">
        <f aca="false">IF(COUNTA('Lista de Preços'!$A431:$W431)&gt;0,IF(AND('Lista de Preços'!$A431&lt;&gt;"",COUNTIF('Lista de Preços'!$A$4:$A$503,'Lista de Preços'!$A431)&gt;1),"ERRO","OK"),"")</f>
        <v/>
      </c>
      <c r="H442" s="27" t="str">
        <f aca="false">IF(COUNTA('Lista de Preços'!$A431:$W431)&gt;0,IF(AND('Lista de Preços'!$N431&lt;&gt;"",ISNUMBER('Lista de Preços'!$N431),OR('Lista de Preços'!$N431&lt;0,'Lista de Preços'!$N431&gt;0.5)),"ERRO","OK"),"")</f>
        <v/>
      </c>
      <c r="I442" s="27" t="str">
        <f aca="false">IF(COUNTA('Lista de Preços'!$A431:$W431)&gt;0,IF(OR($C442="ERRO",$D442="ERRO",$E442="ERRO",$F442="ERRO",$G442="ERRO",$H442="ERRO"),"FALHA","OK"),"")</f>
        <v/>
      </c>
    </row>
    <row r="443" customFormat="false" ht="15" hidden="false" customHeight="false" outlineLevel="0" collapsed="false">
      <c r="A443" s="26" t="n">
        <f aca="false">'Lista de Preços'!$A432</f>
        <v>0</v>
      </c>
      <c r="B443" s="26" t="n">
        <f aca="false">'Lista de Preços'!$B432</f>
        <v>0</v>
      </c>
      <c r="C443" s="27" t="str">
        <f aca="false">IF(COUNTA('Lista de Preços'!$A432:$W432)&gt;0,IF((COUNTBLANK('Lista de Preços'!$A432)+COUNTBLANK('Lista de Preços'!$B432)+COUNTBLANK('Lista de Preços'!$C432)+COUNTBLANK('Lista de Preços'!$D432)+COUNTBLANK('Lista de Preços'!$E432)+COUNTBLANK('Lista de Preços'!$F432)+COUNTBLANK('Lista de Preços'!$L432)+COUNTBLANK('Lista de Preços'!$M432)+COUNTBLANK('Lista de Preços'!$P432)+COUNTBLANK('Lista de Preços'!$U432)+COUNTBLANK('Lista de Preços'!$V432))&gt;0,"ERRO","OK"),"")</f>
        <v/>
      </c>
      <c r="D443" s="27" t="str">
        <f aca="false">IF(COUNTA('Lista de Preços'!$A432:$W432)&gt;0,IF(OR(AND('Lista de Preços'!$L432&lt;&gt;"",NOT(ISNUMBER('Lista de Preços'!$L432))),AND('Lista de Preços'!$M432&lt;&gt;"",NOT(ISNUMBER('Lista de Preços'!$M432)))),"ERRO","OK"),"")</f>
        <v/>
      </c>
      <c r="E443" s="27" t="str">
        <f aca="false">IF(COUNTA('Lista de Preços'!$A432:$W432)&gt;0,IF(AND(ISNUMBER('Lista de Preços'!$L432),ISNUMBER('Lista de Preços'!$M432),'Lista de Preços'!$L432&gt;'Lista de Preços'!$M432),"ERRO","OK"),"")</f>
        <v/>
      </c>
      <c r="F443" s="27" t="str">
        <f aca="true">IF(COUNTA('Lista de Preços'!$A432:$W432)&gt;0,IF(AND('Lista de Preços'!$S432&lt;&gt;"",ISNUMBER('Lista de Preços'!$S432),'Lista de Preços'!$S432&lt;TODAY()),"ERRO","OK"),"")</f>
        <v/>
      </c>
      <c r="G443" s="27" t="str">
        <f aca="false">IF(COUNTA('Lista de Preços'!$A432:$W432)&gt;0,IF(AND('Lista de Preços'!$A432&lt;&gt;"",COUNTIF('Lista de Preços'!$A$4:$A$503,'Lista de Preços'!$A432)&gt;1),"ERRO","OK"),"")</f>
        <v/>
      </c>
      <c r="H443" s="27" t="str">
        <f aca="false">IF(COUNTA('Lista de Preços'!$A432:$W432)&gt;0,IF(AND('Lista de Preços'!$N432&lt;&gt;"",ISNUMBER('Lista de Preços'!$N432),OR('Lista de Preços'!$N432&lt;0,'Lista de Preços'!$N432&gt;0.5)),"ERRO","OK"),"")</f>
        <v/>
      </c>
      <c r="I443" s="27" t="str">
        <f aca="false">IF(COUNTA('Lista de Preços'!$A432:$W432)&gt;0,IF(OR($C443="ERRO",$D443="ERRO",$E443="ERRO",$F443="ERRO",$G443="ERRO",$H443="ERRO"),"FALHA","OK"),"")</f>
        <v/>
      </c>
    </row>
    <row r="444" customFormat="false" ht="15" hidden="false" customHeight="false" outlineLevel="0" collapsed="false">
      <c r="A444" s="26" t="n">
        <f aca="false">'Lista de Preços'!$A433</f>
        <v>0</v>
      </c>
      <c r="B444" s="26" t="n">
        <f aca="false">'Lista de Preços'!$B433</f>
        <v>0</v>
      </c>
      <c r="C444" s="27" t="str">
        <f aca="false">IF(COUNTA('Lista de Preços'!$A433:$W433)&gt;0,IF((COUNTBLANK('Lista de Preços'!$A433)+COUNTBLANK('Lista de Preços'!$B433)+COUNTBLANK('Lista de Preços'!$C433)+COUNTBLANK('Lista de Preços'!$D433)+COUNTBLANK('Lista de Preços'!$E433)+COUNTBLANK('Lista de Preços'!$F433)+COUNTBLANK('Lista de Preços'!$L433)+COUNTBLANK('Lista de Preços'!$M433)+COUNTBLANK('Lista de Preços'!$P433)+COUNTBLANK('Lista de Preços'!$U433)+COUNTBLANK('Lista de Preços'!$V433))&gt;0,"ERRO","OK"),"")</f>
        <v/>
      </c>
      <c r="D444" s="27" t="str">
        <f aca="false">IF(COUNTA('Lista de Preços'!$A433:$W433)&gt;0,IF(OR(AND('Lista de Preços'!$L433&lt;&gt;"",NOT(ISNUMBER('Lista de Preços'!$L433))),AND('Lista de Preços'!$M433&lt;&gt;"",NOT(ISNUMBER('Lista de Preços'!$M433)))),"ERRO","OK"),"")</f>
        <v/>
      </c>
      <c r="E444" s="27" t="str">
        <f aca="false">IF(COUNTA('Lista de Preços'!$A433:$W433)&gt;0,IF(AND(ISNUMBER('Lista de Preços'!$L433),ISNUMBER('Lista de Preços'!$M433),'Lista de Preços'!$L433&gt;'Lista de Preços'!$M433),"ERRO","OK"),"")</f>
        <v/>
      </c>
      <c r="F444" s="27" t="str">
        <f aca="true">IF(COUNTA('Lista de Preços'!$A433:$W433)&gt;0,IF(AND('Lista de Preços'!$S433&lt;&gt;"",ISNUMBER('Lista de Preços'!$S433),'Lista de Preços'!$S433&lt;TODAY()),"ERRO","OK"),"")</f>
        <v/>
      </c>
      <c r="G444" s="27" t="str">
        <f aca="false">IF(COUNTA('Lista de Preços'!$A433:$W433)&gt;0,IF(AND('Lista de Preços'!$A433&lt;&gt;"",COUNTIF('Lista de Preços'!$A$4:$A$503,'Lista de Preços'!$A433)&gt;1),"ERRO","OK"),"")</f>
        <v/>
      </c>
      <c r="H444" s="27" t="str">
        <f aca="false">IF(COUNTA('Lista de Preços'!$A433:$W433)&gt;0,IF(AND('Lista de Preços'!$N433&lt;&gt;"",ISNUMBER('Lista de Preços'!$N433),OR('Lista de Preços'!$N433&lt;0,'Lista de Preços'!$N433&gt;0.5)),"ERRO","OK"),"")</f>
        <v/>
      </c>
      <c r="I444" s="27" t="str">
        <f aca="false">IF(COUNTA('Lista de Preços'!$A433:$W433)&gt;0,IF(OR($C444="ERRO",$D444="ERRO",$E444="ERRO",$F444="ERRO",$G444="ERRO",$H444="ERRO"),"FALHA","OK"),"")</f>
        <v/>
      </c>
    </row>
    <row r="445" customFormat="false" ht="15" hidden="false" customHeight="false" outlineLevel="0" collapsed="false">
      <c r="A445" s="26" t="n">
        <f aca="false">'Lista de Preços'!$A434</f>
        <v>0</v>
      </c>
      <c r="B445" s="26" t="n">
        <f aca="false">'Lista de Preços'!$B434</f>
        <v>0</v>
      </c>
      <c r="C445" s="27" t="str">
        <f aca="false">IF(COUNTA('Lista de Preços'!$A434:$W434)&gt;0,IF((COUNTBLANK('Lista de Preços'!$A434)+COUNTBLANK('Lista de Preços'!$B434)+COUNTBLANK('Lista de Preços'!$C434)+COUNTBLANK('Lista de Preços'!$D434)+COUNTBLANK('Lista de Preços'!$E434)+COUNTBLANK('Lista de Preços'!$F434)+COUNTBLANK('Lista de Preços'!$L434)+COUNTBLANK('Lista de Preços'!$M434)+COUNTBLANK('Lista de Preços'!$P434)+COUNTBLANK('Lista de Preços'!$U434)+COUNTBLANK('Lista de Preços'!$V434))&gt;0,"ERRO","OK"),"")</f>
        <v/>
      </c>
      <c r="D445" s="27" t="str">
        <f aca="false">IF(COUNTA('Lista de Preços'!$A434:$W434)&gt;0,IF(OR(AND('Lista de Preços'!$L434&lt;&gt;"",NOT(ISNUMBER('Lista de Preços'!$L434))),AND('Lista de Preços'!$M434&lt;&gt;"",NOT(ISNUMBER('Lista de Preços'!$M434)))),"ERRO","OK"),"")</f>
        <v/>
      </c>
      <c r="E445" s="27" t="str">
        <f aca="false">IF(COUNTA('Lista de Preços'!$A434:$W434)&gt;0,IF(AND(ISNUMBER('Lista de Preços'!$L434),ISNUMBER('Lista de Preços'!$M434),'Lista de Preços'!$L434&gt;'Lista de Preços'!$M434),"ERRO","OK"),"")</f>
        <v/>
      </c>
      <c r="F445" s="27" t="str">
        <f aca="true">IF(COUNTA('Lista de Preços'!$A434:$W434)&gt;0,IF(AND('Lista de Preços'!$S434&lt;&gt;"",ISNUMBER('Lista de Preços'!$S434),'Lista de Preços'!$S434&lt;TODAY()),"ERRO","OK"),"")</f>
        <v/>
      </c>
      <c r="G445" s="27" t="str">
        <f aca="false">IF(COUNTA('Lista de Preços'!$A434:$W434)&gt;0,IF(AND('Lista de Preços'!$A434&lt;&gt;"",COUNTIF('Lista de Preços'!$A$4:$A$503,'Lista de Preços'!$A434)&gt;1),"ERRO","OK"),"")</f>
        <v/>
      </c>
      <c r="H445" s="27" t="str">
        <f aca="false">IF(COUNTA('Lista de Preços'!$A434:$W434)&gt;0,IF(AND('Lista de Preços'!$N434&lt;&gt;"",ISNUMBER('Lista de Preços'!$N434),OR('Lista de Preços'!$N434&lt;0,'Lista de Preços'!$N434&gt;0.5)),"ERRO","OK"),"")</f>
        <v/>
      </c>
      <c r="I445" s="27" t="str">
        <f aca="false">IF(COUNTA('Lista de Preços'!$A434:$W434)&gt;0,IF(OR($C445="ERRO",$D445="ERRO",$E445="ERRO",$F445="ERRO",$G445="ERRO",$H445="ERRO"),"FALHA","OK"),"")</f>
        <v/>
      </c>
    </row>
    <row r="446" customFormat="false" ht="15" hidden="false" customHeight="false" outlineLevel="0" collapsed="false">
      <c r="A446" s="26" t="n">
        <f aca="false">'Lista de Preços'!$A435</f>
        <v>0</v>
      </c>
      <c r="B446" s="26" t="n">
        <f aca="false">'Lista de Preços'!$B435</f>
        <v>0</v>
      </c>
      <c r="C446" s="27" t="str">
        <f aca="false">IF(COUNTA('Lista de Preços'!$A435:$W435)&gt;0,IF((COUNTBLANK('Lista de Preços'!$A435)+COUNTBLANK('Lista de Preços'!$B435)+COUNTBLANK('Lista de Preços'!$C435)+COUNTBLANK('Lista de Preços'!$D435)+COUNTBLANK('Lista de Preços'!$E435)+COUNTBLANK('Lista de Preços'!$F435)+COUNTBLANK('Lista de Preços'!$L435)+COUNTBLANK('Lista de Preços'!$M435)+COUNTBLANK('Lista de Preços'!$P435)+COUNTBLANK('Lista de Preços'!$U435)+COUNTBLANK('Lista de Preços'!$V435))&gt;0,"ERRO","OK"),"")</f>
        <v/>
      </c>
      <c r="D446" s="27" t="str">
        <f aca="false">IF(COUNTA('Lista de Preços'!$A435:$W435)&gt;0,IF(OR(AND('Lista de Preços'!$L435&lt;&gt;"",NOT(ISNUMBER('Lista de Preços'!$L435))),AND('Lista de Preços'!$M435&lt;&gt;"",NOT(ISNUMBER('Lista de Preços'!$M435)))),"ERRO","OK"),"")</f>
        <v/>
      </c>
      <c r="E446" s="27" t="str">
        <f aca="false">IF(COUNTA('Lista de Preços'!$A435:$W435)&gt;0,IF(AND(ISNUMBER('Lista de Preços'!$L435),ISNUMBER('Lista de Preços'!$M435),'Lista de Preços'!$L435&gt;'Lista de Preços'!$M435),"ERRO","OK"),"")</f>
        <v/>
      </c>
      <c r="F446" s="27" t="str">
        <f aca="true">IF(COUNTA('Lista de Preços'!$A435:$W435)&gt;0,IF(AND('Lista de Preços'!$S435&lt;&gt;"",ISNUMBER('Lista de Preços'!$S435),'Lista de Preços'!$S435&lt;TODAY()),"ERRO","OK"),"")</f>
        <v/>
      </c>
      <c r="G446" s="27" t="str">
        <f aca="false">IF(COUNTA('Lista de Preços'!$A435:$W435)&gt;0,IF(AND('Lista de Preços'!$A435&lt;&gt;"",COUNTIF('Lista de Preços'!$A$4:$A$503,'Lista de Preços'!$A435)&gt;1),"ERRO","OK"),"")</f>
        <v/>
      </c>
      <c r="H446" s="27" t="str">
        <f aca="false">IF(COUNTA('Lista de Preços'!$A435:$W435)&gt;0,IF(AND('Lista de Preços'!$N435&lt;&gt;"",ISNUMBER('Lista de Preços'!$N435),OR('Lista de Preços'!$N435&lt;0,'Lista de Preços'!$N435&gt;0.5)),"ERRO","OK"),"")</f>
        <v/>
      </c>
      <c r="I446" s="27" t="str">
        <f aca="false">IF(COUNTA('Lista de Preços'!$A435:$W435)&gt;0,IF(OR($C446="ERRO",$D446="ERRO",$E446="ERRO",$F446="ERRO",$G446="ERRO",$H446="ERRO"),"FALHA","OK"),"")</f>
        <v/>
      </c>
    </row>
    <row r="447" customFormat="false" ht="15" hidden="false" customHeight="false" outlineLevel="0" collapsed="false">
      <c r="A447" s="26" t="n">
        <f aca="false">'Lista de Preços'!$A436</f>
        <v>0</v>
      </c>
      <c r="B447" s="26" t="n">
        <f aca="false">'Lista de Preços'!$B436</f>
        <v>0</v>
      </c>
      <c r="C447" s="27" t="str">
        <f aca="false">IF(COUNTA('Lista de Preços'!$A436:$W436)&gt;0,IF((COUNTBLANK('Lista de Preços'!$A436)+COUNTBLANK('Lista de Preços'!$B436)+COUNTBLANK('Lista de Preços'!$C436)+COUNTBLANK('Lista de Preços'!$D436)+COUNTBLANK('Lista de Preços'!$E436)+COUNTBLANK('Lista de Preços'!$F436)+COUNTBLANK('Lista de Preços'!$L436)+COUNTBLANK('Lista de Preços'!$M436)+COUNTBLANK('Lista de Preços'!$P436)+COUNTBLANK('Lista de Preços'!$U436)+COUNTBLANK('Lista de Preços'!$V436))&gt;0,"ERRO","OK"),"")</f>
        <v/>
      </c>
      <c r="D447" s="27" t="str">
        <f aca="false">IF(COUNTA('Lista de Preços'!$A436:$W436)&gt;0,IF(OR(AND('Lista de Preços'!$L436&lt;&gt;"",NOT(ISNUMBER('Lista de Preços'!$L436))),AND('Lista de Preços'!$M436&lt;&gt;"",NOT(ISNUMBER('Lista de Preços'!$M436)))),"ERRO","OK"),"")</f>
        <v/>
      </c>
      <c r="E447" s="27" t="str">
        <f aca="false">IF(COUNTA('Lista de Preços'!$A436:$W436)&gt;0,IF(AND(ISNUMBER('Lista de Preços'!$L436),ISNUMBER('Lista de Preços'!$M436),'Lista de Preços'!$L436&gt;'Lista de Preços'!$M436),"ERRO","OK"),"")</f>
        <v/>
      </c>
      <c r="F447" s="27" t="str">
        <f aca="true">IF(COUNTA('Lista de Preços'!$A436:$W436)&gt;0,IF(AND('Lista de Preços'!$S436&lt;&gt;"",ISNUMBER('Lista de Preços'!$S436),'Lista de Preços'!$S436&lt;TODAY()),"ERRO","OK"),"")</f>
        <v/>
      </c>
      <c r="G447" s="27" t="str">
        <f aca="false">IF(COUNTA('Lista de Preços'!$A436:$W436)&gt;0,IF(AND('Lista de Preços'!$A436&lt;&gt;"",COUNTIF('Lista de Preços'!$A$4:$A$503,'Lista de Preços'!$A436)&gt;1),"ERRO","OK"),"")</f>
        <v/>
      </c>
      <c r="H447" s="27" t="str">
        <f aca="false">IF(COUNTA('Lista de Preços'!$A436:$W436)&gt;0,IF(AND('Lista de Preços'!$N436&lt;&gt;"",ISNUMBER('Lista de Preços'!$N436),OR('Lista de Preços'!$N436&lt;0,'Lista de Preços'!$N436&gt;0.5)),"ERRO","OK"),"")</f>
        <v/>
      </c>
      <c r="I447" s="27" t="str">
        <f aca="false">IF(COUNTA('Lista de Preços'!$A436:$W436)&gt;0,IF(OR($C447="ERRO",$D447="ERRO",$E447="ERRO",$F447="ERRO",$G447="ERRO",$H447="ERRO"),"FALHA","OK"),"")</f>
        <v/>
      </c>
    </row>
    <row r="448" customFormat="false" ht="15" hidden="false" customHeight="false" outlineLevel="0" collapsed="false">
      <c r="A448" s="26" t="n">
        <f aca="false">'Lista de Preços'!$A437</f>
        <v>0</v>
      </c>
      <c r="B448" s="26" t="n">
        <f aca="false">'Lista de Preços'!$B437</f>
        <v>0</v>
      </c>
      <c r="C448" s="27" t="str">
        <f aca="false">IF(COUNTA('Lista de Preços'!$A437:$W437)&gt;0,IF((COUNTBLANK('Lista de Preços'!$A437)+COUNTBLANK('Lista de Preços'!$B437)+COUNTBLANK('Lista de Preços'!$C437)+COUNTBLANK('Lista de Preços'!$D437)+COUNTBLANK('Lista de Preços'!$E437)+COUNTBLANK('Lista de Preços'!$F437)+COUNTBLANK('Lista de Preços'!$L437)+COUNTBLANK('Lista de Preços'!$M437)+COUNTBLANK('Lista de Preços'!$P437)+COUNTBLANK('Lista de Preços'!$U437)+COUNTBLANK('Lista de Preços'!$V437))&gt;0,"ERRO","OK"),"")</f>
        <v/>
      </c>
      <c r="D448" s="27" t="str">
        <f aca="false">IF(COUNTA('Lista de Preços'!$A437:$W437)&gt;0,IF(OR(AND('Lista de Preços'!$L437&lt;&gt;"",NOT(ISNUMBER('Lista de Preços'!$L437))),AND('Lista de Preços'!$M437&lt;&gt;"",NOT(ISNUMBER('Lista de Preços'!$M437)))),"ERRO","OK"),"")</f>
        <v/>
      </c>
      <c r="E448" s="27" t="str">
        <f aca="false">IF(COUNTA('Lista de Preços'!$A437:$W437)&gt;0,IF(AND(ISNUMBER('Lista de Preços'!$L437),ISNUMBER('Lista de Preços'!$M437),'Lista de Preços'!$L437&gt;'Lista de Preços'!$M437),"ERRO","OK"),"")</f>
        <v/>
      </c>
      <c r="F448" s="27" t="str">
        <f aca="true">IF(COUNTA('Lista de Preços'!$A437:$W437)&gt;0,IF(AND('Lista de Preços'!$S437&lt;&gt;"",ISNUMBER('Lista de Preços'!$S437),'Lista de Preços'!$S437&lt;TODAY()),"ERRO","OK"),"")</f>
        <v/>
      </c>
      <c r="G448" s="27" t="str">
        <f aca="false">IF(COUNTA('Lista de Preços'!$A437:$W437)&gt;0,IF(AND('Lista de Preços'!$A437&lt;&gt;"",COUNTIF('Lista de Preços'!$A$4:$A$503,'Lista de Preços'!$A437)&gt;1),"ERRO","OK"),"")</f>
        <v/>
      </c>
      <c r="H448" s="27" t="str">
        <f aca="false">IF(COUNTA('Lista de Preços'!$A437:$W437)&gt;0,IF(AND('Lista de Preços'!$N437&lt;&gt;"",ISNUMBER('Lista de Preços'!$N437),OR('Lista de Preços'!$N437&lt;0,'Lista de Preços'!$N437&gt;0.5)),"ERRO","OK"),"")</f>
        <v/>
      </c>
      <c r="I448" s="27" t="str">
        <f aca="false">IF(COUNTA('Lista de Preços'!$A437:$W437)&gt;0,IF(OR($C448="ERRO",$D448="ERRO",$E448="ERRO",$F448="ERRO",$G448="ERRO",$H448="ERRO"),"FALHA","OK"),"")</f>
        <v/>
      </c>
    </row>
    <row r="449" customFormat="false" ht="15" hidden="false" customHeight="false" outlineLevel="0" collapsed="false">
      <c r="A449" s="26" t="n">
        <f aca="false">'Lista de Preços'!$A438</f>
        <v>0</v>
      </c>
      <c r="B449" s="26" t="n">
        <f aca="false">'Lista de Preços'!$B438</f>
        <v>0</v>
      </c>
      <c r="C449" s="27" t="str">
        <f aca="false">IF(COUNTA('Lista de Preços'!$A438:$W438)&gt;0,IF((COUNTBLANK('Lista de Preços'!$A438)+COUNTBLANK('Lista de Preços'!$B438)+COUNTBLANK('Lista de Preços'!$C438)+COUNTBLANK('Lista de Preços'!$D438)+COUNTBLANK('Lista de Preços'!$E438)+COUNTBLANK('Lista de Preços'!$F438)+COUNTBLANK('Lista de Preços'!$L438)+COUNTBLANK('Lista de Preços'!$M438)+COUNTBLANK('Lista de Preços'!$P438)+COUNTBLANK('Lista de Preços'!$U438)+COUNTBLANK('Lista de Preços'!$V438))&gt;0,"ERRO","OK"),"")</f>
        <v/>
      </c>
      <c r="D449" s="27" t="str">
        <f aca="false">IF(COUNTA('Lista de Preços'!$A438:$W438)&gt;0,IF(OR(AND('Lista de Preços'!$L438&lt;&gt;"",NOT(ISNUMBER('Lista de Preços'!$L438))),AND('Lista de Preços'!$M438&lt;&gt;"",NOT(ISNUMBER('Lista de Preços'!$M438)))),"ERRO","OK"),"")</f>
        <v/>
      </c>
      <c r="E449" s="27" t="str">
        <f aca="false">IF(COUNTA('Lista de Preços'!$A438:$W438)&gt;0,IF(AND(ISNUMBER('Lista de Preços'!$L438),ISNUMBER('Lista de Preços'!$M438),'Lista de Preços'!$L438&gt;'Lista de Preços'!$M438),"ERRO","OK"),"")</f>
        <v/>
      </c>
      <c r="F449" s="27" t="str">
        <f aca="true">IF(COUNTA('Lista de Preços'!$A438:$W438)&gt;0,IF(AND('Lista de Preços'!$S438&lt;&gt;"",ISNUMBER('Lista de Preços'!$S438),'Lista de Preços'!$S438&lt;TODAY()),"ERRO","OK"),"")</f>
        <v/>
      </c>
      <c r="G449" s="27" t="str">
        <f aca="false">IF(COUNTA('Lista de Preços'!$A438:$W438)&gt;0,IF(AND('Lista de Preços'!$A438&lt;&gt;"",COUNTIF('Lista de Preços'!$A$4:$A$503,'Lista de Preços'!$A438)&gt;1),"ERRO","OK"),"")</f>
        <v/>
      </c>
      <c r="H449" s="27" t="str">
        <f aca="false">IF(COUNTA('Lista de Preços'!$A438:$W438)&gt;0,IF(AND('Lista de Preços'!$N438&lt;&gt;"",ISNUMBER('Lista de Preços'!$N438),OR('Lista de Preços'!$N438&lt;0,'Lista de Preços'!$N438&gt;0.5)),"ERRO","OK"),"")</f>
        <v/>
      </c>
      <c r="I449" s="27" t="str">
        <f aca="false">IF(COUNTA('Lista de Preços'!$A438:$W438)&gt;0,IF(OR($C449="ERRO",$D449="ERRO",$E449="ERRO",$F449="ERRO",$G449="ERRO",$H449="ERRO"),"FALHA","OK"),"")</f>
        <v/>
      </c>
    </row>
    <row r="450" customFormat="false" ht="15" hidden="false" customHeight="false" outlineLevel="0" collapsed="false">
      <c r="A450" s="26" t="n">
        <f aca="false">'Lista de Preços'!$A439</f>
        <v>0</v>
      </c>
      <c r="B450" s="26" t="n">
        <f aca="false">'Lista de Preços'!$B439</f>
        <v>0</v>
      </c>
      <c r="C450" s="27" t="str">
        <f aca="false">IF(COUNTA('Lista de Preços'!$A439:$W439)&gt;0,IF((COUNTBLANK('Lista de Preços'!$A439)+COUNTBLANK('Lista de Preços'!$B439)+COUNTBLANK('Lista de Preços'!$C439)+COUNTBLANK('Lista de Preços'!$D439)+COUNTBLANK('Lista de Preços'!$E439)+COUNTBLANK('Lista de Preços'!$F439)+COUNTBLANK('Lista de Preços'!$L439)+COUNTBLANK('Lista de Preços'!$M439)+COUNTBLANK('Lista de Preços'!$P439)+COUNTBLANK('Lista de Preços'!$U439)+COUNTBLANK('Lista de Preços'!$V439))&gt;0,"ERRO","OK"),"")</f>
        <v/>
      </c>
      <c r="D450" s="27" t="str">
        <f aca="false">IF(COUNTA('Lista de Preços'!$A439:$W439)&gt;0,IF(OR(AND('Lista de Preços'!$L439&lt;&gt;"",NOT(ISNUMBER('Lista de Preços'!$L439))),AND('Lista de Preços'!$M439&lt;&gt;"",NOT(ISNUMBER('Lista de Preços'!$M439)))),"ERRO","OK"),"")</f>
        <v/>
      </c>
      <c r="E450" s="27" t="str">
        <f aca="false">IF(COUNTA('Lista de Preços'!$A439:$W439)&gt;0,IF(AND(ISNUMBER('Lista de Preços'!$L439),ISNUMBER('Lista de Preços'!$M439),'Lista de Preços'!$L439&gt;'Lista de Preços'!$M439),"ERRO","OK"),"")</f>
        <v/>
      </c>
      <c r="F450" s="27" t="str">
        <f aca="true">IF(COUNTA('Lista de Preços'!$A439:$W439)&gt;0,IF(AND('Lista de Preços'!$S439&lt;&gt;"",ISNUMBER('Lista de Preços'!$S439),'Lista de Preços'!$S439&lt;TODAY()),"ERRO","OK"),"")</f>
        <v/>
      </c>
      <c r="G450" s="27" t="str">
        <f aca="false">IF(COUNTA('Lista de Preços'!$A439:$W439)&gt;0,IF(AND('Lista de Preços'!$A439&lt;&gt;"",COUNTIF('Lista de Preços'!$A$4:$A$503,'Lista de Preços'!$A439)&gt;1),"ERRO","OK"),"")</f>
        <v/>
      </c>
      <c r="H450" s="27" t="str">
        <f aca="false">IF(COUNTA('Lista de Preços'!$A439:$W439)&gt;0,IF(AND('Lista de Preços'!$N439&lt;&gt;"",ISNUMBER('Lista de Preços'!$N439),OR('Lista de Preços'!$N439&lt;0,'Lista de Preços'!$N439&gt;0.5)),"ERRO","OK"),"")</f>
        <v/>
      </c>
      <c r="I450" s="27" t="str">
        <f aca="false">IF(COUNTA('Lista de Preços'!$A439:$W439)&gt;0,IF(OR($C450="ERRO",$D450="ERRO",$E450="ERRO",$F450="ERRO",$G450="ERRO",$H450="ERRO"),"FALHA","OK"),"")</f>
        <v/>
      </c>
    </row>
    <row r="451" customFormat="false" ht="15" hidden="false" customHeight="false" outlineLevel="0" collapsed="false">
      <c r="A451" s="26" t="n">
        <f aca="false">'Lista de Preços'!$A440</f>
        <v>0</v>
      </c>
      <c r="B451" s="26" t="n">
        <f aca="false">'Lista de Preços'!$B440</f>
        <v>0</v>
      </c>
      <c r="C451" s="27" t="str">
        <f aca="false">IF(COUNTA('Lista de Preços'!$A440:$W440)&gt;0,IF((COUNTBLANK('Lista de Preços'!$A440)+COUNTBLANK('Lista de Preços'!$B440)+COUNTBLANK('Lista de Preços'!$C440)+COUNTBLANK('Lista de Preços'!$D440)+COUNTBLANK('Lista de Preços'!$E440)+COUNTBLANK('Lista de Preços'!$F440)+COUNTBLANK('Lista de Preços'!$L440)+COUNTBLANK('Lista de Preços'!$M440)+COUNTBLANK('Lista de Preços'!$P440)+COUNTBLANK('Lista de Preços'!$U440)+COUNTBLANK('Lista de Preços'!$V440))&gt;0,"ERRO","OK"),"")</f>
        <v/>
      </c>
      <c r="D451" s="27" t="str">
        <f aca="false">IF(COUNTA('Lista de Preços'!$A440:$W440)&gt;0,IF(OR(AND('Lista de Preços'!$L440&lt;&gt;"",NOT(ISNUMBER('Lista de Preços'!$L440))),AND('Lista de Preços'!$M440&lt;&gt;"",NOT(ISNUMBER('Lista de Preços'!$M440)))),"ERRO","OK"),"")</f>
        <v/>
      </c>
      <c r="E451" s="27" t="str">
        <f aca="false">IF(COUNTA('Lista de Preços'!$A440:$W440)&gt;0,IF(AND(ISNUMBER('Lista de Preços'!$L440),ISNUMBER('Lista de Preços'!$M440),'Lista de Preços'!$L440&gt;'Lista de Preços'!$M440),"ERRO","OK"),"")</f>
        <v/>
      </c>
      <c r="F451" s="27" t="str">
        <f aca="true">IF(COUNTA('Lista de Preços'!$A440:$W440)&gt;0,IF(AND('Lista de Preços'!$S440&lt;&gt;"",ISNUMBER('Lista de Preços'!$S440),'Lista de Preços'!$S440&lt;TODAY()),"ERRO","OK"),"")</f>
        <v/>
      </c>
      <c r="G451" s="27" t="str">
        <f aca="false">IF(COUNTA('Lista de Preços'!$A440:$W440)&gt;0,IF(AND('Lista de Preços'!$A440&lt;&gt;"",COUNTIF('Lista de Preços'!$A$4:$A$503,'Lista de Preços'!$A440)&gt;1),"ERRO","OK"),"")</f>
        <v/>
      </c>
      <c r="H451" s="27" t="str">
        <f aca="false">IF(COUNTA('Lista de Preços'!$A440:$W440)&gt;0,IF(AND('Lista de Preços'!$N440&lt;&gt;"",ISNUMBER('Lista de Preços'!$N440),OR('Lista de Preços'!$N440&lt;0,'Lista de Preços'!$N440&gt;0.5)),"ERRO","OK"),"")</f>
        <v/>
      </c>
      <c r="I451" s="27" t="str">
        <f aca="false">IF(COUNTA('Lista de Preços'!$A440:$W440)&gt;0,IF(OR($C451="ERRO",$D451="ERRO",$E451="ERRO",$F451="ERRO",$G451="ERRO",$H451="ERRO"),"FALHA","OK"),"")</f>
        <v/>
      </c>
    </row>
    <row r="452" customFormat="false" ht="15" hidden="false" customHeight="false" outlineLevel="0" collapsed="false">
      <c r="A452" s="26" t="n">
        <f aca="false">'Lista de Preços'!$A441</f>
        <v>0</v>
      </c>
      <c r="B452" s="26" t="n">
        <f aca="false">'Lista de Preços'!$B441</f>
        <v>0</v>
      </c>
      <c r="C452" s="27" t="str">
        <f aca="false">IF(COUNTA('Lista de Preços'!$A441:$W441)&gt;0,IF((COUNTBLANK('Lista de Preços'!$A441)+COUNTBLANK('Lista de Preços'!$B441)+COUNTBLANK('Lista de Preços'!$C441)+COUNTBLANK('Lista de Preços'!$D441)+COUNTBLANK('Lista de Preços'!$E441)+COUNTBLANK('Lista de Preços'!$F441)+COUNTBLANK('Lista de Preços'!$L441)+COUNTBLANK('Lista de Preços'!$M441)+COUNTBLANK('Lista de Preços'!$P441)+COUNTBLANK('Lista de Preços'!$U441)+COUNTBLANK('Lista de Preços'!$V441))&gt;0,"ERRO","OK"),"")</f>
        <v/>
      </c>
      <c r="D452" s="27" t="str">
        <f aca="false">IF(COUNTA('Lista de Preços'!$A441:$W441)&gt;0,IF(OR(AND('Lista de Preços'!$L441&lt;&gt;"",NOT(ISNUMBER('Lista de Preços'!$L441))),AND('Lista de Preços'!$M441&lt;&gt;"",NOT(ISNUMBER('Lista de Preços'!$M441)))),"ERRO","OK"),"")</f>
        <v/>
      </c>
      <c r="E452" s="27" t="str">
        <f aca="false">IF(COUNTA('Lista de Preços'!$A441:$W441)&gt;0,IF(AND(ISNUMBER('Lista de Preços'!$L441),ISNUMBER('Lista de Preços'!$M441),'Lista de Preços'!$L441&gt;'Lista de Preços'!$M441),"ERRO","OK"),"")</f>
        <v/>
      </c>
      <c r="F452" s="27" t="str">
        <f aca="true">IF(COUNTA('Lista de Preços'!$A441:$W441)&gt;0,IF(AND('Lista de Preços'!$S441&lt;&gt;"",ISNUMBER('Lista de Preços'!$S441),'Lista de Preços'!$S441&lt;TODAY()),"ERRO","OK"),"")</f>
        <v/>
      </c>
      <c r="G452" s="27" t="str">
        <f aca="false">IF(COUNTA('Lista de Preços'!$A441:$W441)&gt;0,IF(AND('Lista de Preços'!$A441&lt;&gt;"",COUNTIF('Lista de Preços'!$A$4:$A$503,'Lista de Preços'!$A441)&gt;1),"ERRO","OK"),"")</f>
        <v/>
      </c>
      <c r="H452" s="27" t="str">
        <f aca="false">IF(COUNTA('Lista de Preços'!$A441:$W441)&gt;0,IF(AND('Lista de Preços'!$N441&lt;&gt;"",ISNUMBER('Lista de Preços'!$N441),OR('Lista de Preços'!$N441&lt;0,'Lista de Preços'!$N441&gt;0.5)),"ERRO","OK"),"")</f>
        <v/>
      </c>
      <c r="I452" s="27" t="str">
        <f aca="false">IF(COUNTA('Lista de Preços'!$A441:$W441)&gt;0,IF(OR($C452="ERRO",$D452="ERRO",$E452="ERRO",$F452="ERRO",$G452="ERRO",$H452="ERRO"),"FALHA","OK"),"")</f>
        <v/>
      </c>
    </row>
    <row r="453" customFormat="false" ht="15" hidden="false" customHeight="false" outlineLevel="0" collapsed="false">
      <c r="A453" s="26" t="n">
        <f aca="false">'Lista de Preços'!$A442</f>
        <v>0</v>
      </c>
      <c r="B453" s="26" t="n">
        <f aca="false">'Lista de Preços'!$B442</f>
        <v>0</v>
      </c>
      <c r="C453" s="27" t="str">
        <f aca="false">IF(COUNTA('Lista de Preços'!$A442:$W442)&gt;0,IF((COUNTBLANK('Lista de Preços'!$A442)+COUNTBLANK('Lista de Preços'!$B442)+COUNTBLANK('Lista de Preços'!$C442)+COUNTBLANK('Lista de Preços'!$D442)+COUNTBLANK('Lista de Preços'!$E442)+COUNTBLANK('Lista de Preços'!$F442)+COUNTBLANK('Lista de Preços'!$L442)+COUNTBLANK('Lista de Preços'!$M442)+COUNTBLANK('Lista de Preços'!$P442)+COUNTBLANK('Lista de Preços'!$U442)+COUNTBLANK('Lista de Preços'!$V442))&gt;0,"ERRO","OK"),"")</f>
        <v/>
      </c>
      <c r="D453" s="27" t="str">
        <f aca="false">IF(COUNTA('Lista de Preços'!$A442:$W442)&gt;0,IF(OR(AND('Lista de Preços'!$L442&lt;&gt;"",NOT(ISNUMBER('Lista de Preços'!$L442))),AND('Lista de Preços'!$M442&lt;&gt;"",NOT(ISNUMBER('Lista de Preços'!$M442)))),"ERRO","OK"),"")</f>
        <v/>
      </c>
      <c r="E453" s="27" t="str">
        <f aca="false">IF(COUNTA('Lista de Preços'!$A442:$W442)&gt;0,IF(AND(ISNUMBER('Lista de Preços'!$L442),ISNUMBER('Lista de Preços'!$M442),'Lista de Preços'!$L442&gt;'Lista de Preços'!$M442),"ERRO","OK"),"")</f>
        <v/>
      </c>
      <c r="F453" s="27" t="str">
        <f aca="true">IF(COUNTA('Lista de Preços'!$A442:$W442)&gt;0,IF(AND('Lista de Preços'!$S442&lt;&gt;"",ISNUMBER('Lista de Preços'!$S442),'Lista de Preços'!$S442&lt;TODAY()),"ERRO","OK"),"")</f>
        <v/>
      </c>
      <c r="G453" s="27" t="str">
        <f aca="false">IF(COUNTA('Lista de Preços'!$A442:$W442)&gt;0,IF(AND('Lista de Preços'!$A442&lt;&gt;"",COUNTIF('Lista de Preços'!$A$4:$A$503,'Lista de Preços'!$A442)&gt;1),"ERRO","OK"),"")</f>
        <v/>
      </c>
      <c r="H453" s="27" t="str">
        <f aca="false">IF(COUNTA('Lista de Preços'!$A442:$W442)&gt;0,IF(AND('Lista de Preços'!$N442&lt;&gt;"",ISNUMBER('Lista de Preços'!$N442),OR('Lista de Preços'!$N442&lt;0,'Lista de Preços'!$N442&gt;0.5)),"ERRO","OK"),"")</f>
        <v/>
      </c>
      <c r="I453" s="27" t="str">
        <f aca="false">IF(COUNTA('Lista de Preços'!$A442:$W442)&gt;0,IF(OR($C453="ERRO",$D453="ERRO",$E453="ERRO",$F453="ERRO",$G453="ERRO",$H453="ERRO"),"FALHA","OK"),"")</f>
        <v/>
      </c>
    </row>
    <row r="454" customFormat="false" ht="15" hidden="false" customHeight="false" outlineLevel="0" collapsed="false">
      <c r="A454" s="26" t="n">
        <f aca="false">'Lista de Preços'!$A443</f>
        <v>0</v>
      </c>
      <c r="B454" s="26" t="n">
        <f aca="false">'Lista de Preços'!$B443</f>
        <v>0</v>
      </c>
      <c r="C454" s="27" t="str">
        <f aca="false">IF(COUNTA('Lista de Preços'!$A443:$W443)&gt;0,IF((COUNTBLANK('Lista de Preços'!$A443)+COUNTBLANK('Lista de Preços'!$B443)+COUNTBLANK('Lista de Preços'!$C443)+COUNTBLANK('Lista de Preços'!$D443)+COUNTBLANK('Lista de Preços'!$E443)+COUNTBLANK('Lista de Preços'!$F443)+COUNTBLANK('Lista de Preços'!$L443)+COUNTBLANK('Lista de Preços'!$M443)+COUNTBLANK('Lista de Preços'!$P443)+COUNTBLANK('Lista de Preços'!$U443)+COUNTBLANK('Lista de Preços'!$V443))&gt;0,"ERRO","OK"),"")</f>
        <v/>
      </c>
      <c r="D454" s="27" t="str">
        <f aca="false">IF(COUNTA('Lista de Preços'!$A443:$W443)&gt;0,IF(OR(AND('Lista de Preços'!$L443&lt;&gt;"",NOT(ISNUMBER('Lista de Preços'!$L443))),AND('Lista de Preços'!$M443&lt;&gt;"",NOT(ISNUMBER('Lista de Preços'!$M443)))),"ERRO","OK"),"")</f>
        <v/>
      </c>
      <c r="E454" s="27" t="str">
        <f aca="false">IF(COUNTA('Lista de Preços'!$A443:$W443)&gt;0,IF(AND(ISNUMBER('Lista de Preços'!$L443),ISNUMBER('Lista de Preços'!$M443),'Lista de Preços'!$L443&gt;'Lista de Preços'!$M443),"ERRO","OK"),"")</f>
        <v/>
      </c>
      <c r="F454" s="27" t="str">
        <f aca="true">IF(COUNTA('Lista de Preços'!$A443:$W443)&gt;0,IF(AND('Lista de Preços'!$S443&lt;&gt;"",ISNUMBER('Lista de Preços'!$S443),'Lista de Preços'!$S443&lt;TODAY()),"ERRO","OK"),"")</f>
        <v/>
      </c>
      <c r="G454" s="27" t="str">
        <f aca="false">IF(COUNTA('Lista de Preços'!$A443:$W443)&gt;0,IF(AND('Lista de Preços'!$A443&lt;&gt;"",COUNTIF('Lista de Preços'!$A$4:$A$503,'Lista de Preços'!$A443)&gt;1),"ERRO","OK"),"")</f>
        <v/>
      </c>
      <c r="H454" s="27" t="str">
        <f aca="false">IF(COUNTA('Lista de Preços'!$A443:$W443)&gt;0,IF(AND('Lista de Preços'!$N443&lt;&gt;"",ISNUMBER('Lista de Preços'!$N443),OR('Lista de Preços'!$N443&lt;0,'Lista de Preços'!$N443&gt;0.5)),"ERRO","OK"),"")</f>
        <v/>
      </c>
      <c r="I454" s="27" t="str">
        <f aca="false">IF(COUNTA('Lista de Preços'!$A443:$W443)&gt;0,IF(OR($C454="ERRO",$D454="ERRO",$E454="ERRO",$F454="ERRO",$G454="ERRO",$H454="ERRO"),"FALHA","OK"),"")</f>
        <v/>
      </c>
    </row>
    <row r="455" customFormat="false" ht="15" hidden="false" customHeight="false" outlineLevel="0" collapsed="false">
      <c r="A455" s="26" t="n">
        <f aca="false">'Lista de Preços'!$A444</f>
        <v>0</v>
      </c>
      <c r="B455" s="26" t="n">
        <f aca="false">'Lista de Preços'!$B444</f>
        <v>0</v>
      </c>
      <c r="C455" s="27" t="str">
        <f aca="false">IF(COUNTA('Lista de Preços'!$A444:$W444)&gt;0,IF((COUNTBLANK('Lista de Preços'!$A444)+COUNTBLANK('Lista de Preços'!$B444)+COUNTBLANK('Lista de Preços'!$C444)+COUNTBLANK('Lista de Preços'!$D444)+COUNTBLANK('Lista de Preços'!$E444)+COUNTBLANK('Lista de Preços'!$F444)+COUNTBLANK('Lista de Preços'!$L444)+COUNTBLANK('Lista de Preços'!$M444)+COUNTBLANK('Lista de Preços'!$P444)+COUNTBLANK('Lista de Preços'!$U444)+COUNTBLANK('Lista de Preços'!$V444))&gt;0,"ERRO","OK"),"")</f>
        <v/>
      </c>
      <c r="D455" s="27" t="str">
        <f aca="false">IF(COUNTA('Lista de Preços'!$A444:$W444)&gt;0,IF(OR(AND('Lista de Preços'!$L444&lt;&gt;"",NOT(ISNUMBER('Lista de Preços'!$L444))),AND('Lista de Preços'!$M444&lt;&gt;"",NOT(ISNUMBER('Lista de Preços'!$M444)))),"ERRO","OK"),"")</f>
        <v/>
      </c>
      <c r="E455" s="27" t="str">
        <f aca="false">IF(COUNTA('Lista de Preços'!$A444:$W444)&gt;0,IF(AND(ISNUMBER('Lista de Preços'!$L444),ISNUMBER('Lista de Preços'!$M444),'Lista de Preços'!$L444&gt;'Lista de Preços'!$M444),"ERRO","OK"),"")</f>
        <v/>
      </c>
      <c r="F455" s="27" t="str">
        <f aca="true">IF(COUNTA('Lista de Preços'!$A444:$W444)&gt;0,IF(AND('Lista de Preços'!$S444&lt;&gt;"",ISNUMBER('Lista de Preços'!$S444),'Lista de Preços'!$S444&lt;TODAY()),"ERRO","OK"),"")</f>
        <v/>
      </c>
      <c r="G455" s="27" t="str">
        <f aca="false">IF(COUNTA('Lista de Preços'!$A444:$W444)&gt;0,IF(AND('Lista de Preços'!$A444&lt;&gt;"",COUNTIF('Lista de Preços'!$A$4:$A$503,'Lista de Preços'!$A444)&gt;1),"ERRO","OK"),"")</f>
        <v/>
      </c>
      <c r="H455" s="27" t="str">
        <f aca="false">IF(COUNTA('Lista de Preços'!$A444:$W444)&gt;0,IF(AND('Lista de Preços'!$N444&lt;&gt;"",ISNUMBER('Lista de Preços'!$N444),OR('Lista de Preços'!$N444&lt;0,'Lista de Preços'!$N444&gt;0.5)),"ERRO","OK"),"")</f>
        <v/>
      </c>
      <c r="I455" s="27" t="str">
        <f aca="false">IF(COUNTA('Lista de Preços'!$A444:$W444)&gt;0,IF(OR($C455="ERRO",$D455="ERRO",$E455="ERRO",$F455="ERRO",$G455="ERRO",$H455="ERRO"),"FALHA","OK"),"")</f>
        <v/>
      </c>
    </row>
    <row r="456" customFormat="false" ht="15" hidden="false" customHeight="false" outlineLevel="0" collapsed="false">
      <c r="A456" s="26" t="n">
        <f aca="false">'Lista de Preços'!$A445</f>
        <v>0</v>
      </c>
      <c r="B456" s="26" t="n">
        <f aca="false">'Lista de Preços'!$B445</f>
        <v>0</v>
      </c>
      <c r="C456" s="27" t="str">
        <f aca="false">IF(COUNTA('Lista de Preços'!$A445:$W445)&gt;0,IF((COUNTBLANK('Lista de Preços'!$A445)+COUNTBLANK('Lista de Preços'!$B445)+COUNTBLANK('Lista de Preços'!$C445)+COUNTBLANK('Lista de Preços'!$D445)+COUNTBLANK('Lista de Preços'!$E445)+COUNTBLANK('Lista de Preços'!$F445)+COUNTBLANK('Lista de Preços'!$L445)+COUNTBLANK('Lista de Preços'!$M445)+COUNTBLANK('Lista de Preços'!$P445)+COUNTBLANK('Lista de Preços'!$U445)+COUNTBLANK('Lista de Preços'!$V445))&gt;0,"ERRO","OK"),"")</f>
        <v/>
      </c>
      <c r="D456" s="27" t="str">
        <f aca="false">IF(COUNTA('Lista de Preços'!$A445:$W445)&gt;0,IF(OR(AND('Lista de Preços'!$L445&lt;&gt;"",NOT(ISNUMBER('Lista de Preços'!$L445))),AND('Lista de Preços'!$M445&lt;&gt;"",NOT(ISNUMBER('Lista de Preços'!$M445)))),"ERRO","OK"),"")</f>
        <v/>
      </c>
      <c r="E456" s="27" t="str">
        <f aca="false">IF(COUNTA('Lista de Preços'!$A445:$W445)&gt;0,IF(AND(ISNUMBER('Lista de Preços'!$L445),ISNUMBER('Lista de Preços'!$M445),'Lista de Preços'!$L445&gt;'Lista de Preços'!$M445),"ERRO","OK"),"")</f>
        <v/>
      </c>
      <c r="F456" s="27" t="str">
        <f aca="true">IF(COUNTA('Lista de Preços'!$A445:$W445)&gt;0,IF(AND('Lista de Preços'!$S445&lt;&gt;"",ISNUMBER('Lista de Preços'!$S445),'Lista de Preços'!$S445&lt;TODAY()),"ERRO","OK"),"")</f>
        <v/>
      </c>
      <c r="G456" s="27" t="str">
        <f aca="false">IF(COUNTA('Lista de Preços'!$A445:$W445)&gt;0,IF(AND('Lista de Preços'!$A445&lt;&gt;"",COUNTIF('Lista de Preços'!$A$4:$A$503,'Lista de Preços'!$A445)&gt;1),"ERRO","OK"),"")</f>
        <v/>
      </c>
      <c r="H456" s="27" t="str">
        <f aca="false">IF(COUNTA('Lista de Preços'!$A445:$W445)&gt;0,IF(AND('Lista de Preços'!$N445&lt;&gt;"",ISNUMBER('Lista de Preços'!$N445),OR('Lista de Preços'!$N445&lt;0,'Lista de Preços'!$N445&gt;0.5)),"ERRO","OK"),"")</f>
        <v/>
      </c>
      <c r="I456" s="27" t="str">
        <f aca="false">IF(COUNTA('Lista de Preços'!$A445:$W445)&gt;0,IF(OR($C456="ERRO",$D456="ERRO",$E456="ERRO",$F456="ERRO",$G456="ERRO",$H456="ERRO"),"FALHA","OK"),"")</f>
        <v/>
      </c>
    </row>
    <row r="457" customFormat="false" ht="15" hidden="false" customHeight="false" outlineLevel="0" collapsed="false">
      <c r="A457" s="26" t="n">
        <f aca="false">'Lista de Preços'!$A446</f>
        <v>0</v>
      </c>
      <c r="B457" s="26" t="n">
        <f aca="false">'Lista de Preços'!$B446</f>
        <v>0</v>
      </c>
      <c r="C457" s="27" t="str">
        <f aca="false">IF(COUNTA('Lista de Preços'!$A446:$W446)&gt;0,IF((COUNTBLANK('Lista de Preços'!$A446)+COUNTBLANK('Lista de Preços'!$B446)+COUNTBLANK('Lista de Preços'!$C446)+COUNTBLANK('Lista de Preços'!$D446)+COUNTBLANK('Lista de Preços'!$E446)+COUNTBLANK('Lista de Preços'!$F446)+COUNTBLANK('Lista de Preços'!$L446)+COUNTBLANK('Lista de Preços'!$M446)+COUNTBLANK('Lista de Preços'!$P446)+COUNTBLANK('Lista de Preços'!$U446)+COUNTBLANK('Lista de Preços'!$V446))&gt;0,"ERRO","OK"),"")</f>
        <v/>
      </c>
      <c r="D457" s="27" t="str">
        <f aca="false">IF(COUNTA('Lista de Preços'!$A446:$W446)&gt;0,IF(OR(AND('Lista de Preços'!$L446&lt;&gt;"",NOT(ISNUMBER('Lista de Preços'!$L446))),AND('Lista de Preços'!$M446&lt;&gt;"",NOT(ISNUMBER('Lista de Preços'!$M446)))),"ERRO","OK"),"")</f>
        <v/>
      </c>
      <c r="E457" s="27" t="str">
        <f aca="false">IF(COUNTA('Lista de Preços'!$A446:$W446)&gt;0,IF(AND(ISNUMBER('Lista de Preços'!$L446),ISNUMBER('Lista de Preços'!$M446),'Lista de Preços'!$L446&gt;'Lista de Preços'!$M446),"ERRO","OK"),"")</f>
        <v/>
      </c>
      <c r="F457" s="27" t="str">
        <f aca="true">IF(COUNTA('Lista de Preços'!$A446:$W446)&gt;0,IF(AND('Lista de Preços'!$S446&lt;&gt;"",ISNUMBER('Lista de Preços'!$S446),'Lista de Preços'!$S446&lt;TODAY()),"ERRO","OK"),"")</f>
        <v/>
      </c>
      <c r="G457" s="27" t="str">
        <f aca="false">IF(COUNTA('Lista de Preços'!$A446:$W446)&gt;0,IF(AND('Lista de Preços'!$A446&lt;&gt;"",COUNTIF('Lista de Preços'!$A$4:$A$503,'Lista de Preços'!$A446)&gt;1),"ERRO","OK"),"")</f>
        <v/>
      </c>
      <c r="H457" s="27" t="str">
        <f aca="false">IF(COUNTA('Lista de Preços'!$A446:$W446)&gt;0,IF(AND('Lista de Preços'!$N446&lt;&gt;"",ISNUMBER('Lista de Preços'!$N446),OR('Lista de Preços'!$N446&lt;0,'Lista de Preços'!$N446&gt;0.5)),"ERRO","OK"),"")</f>
        <v/>
      </c>
      <c r="I457" s="27" t="str">
        <f aca="false">IF(COUNTA('Lista de Preços'!$A446:$W446)&gt;0,IF(OR($C457="ERRO",$D457="ERRO",$E457="ERRO",$F457="ERRO",$G457="ERRO",$H457="ERRO"),"FALHA","OK"),"")</f>
        <v/>
      </c>
    </row>
    <row r="458" customFormat="false" ht="15" hidden="false" customHeight="false" outlineLevel="0" collapsed="false">
      <c r="A458" s="26" t="n">
        <f aca="false">'Lista de Preços'!$A447</f>
        <v>0</v>
      </c>
      <c r="B458" s="26" t="n">
        <f aca="false">'Lista de Preços'!$B447</f>
        <v>0</v>
      </c>
      <c r="C458" s="27" t="str">
        <f aca="false">IF(COUNTA('Lista de Preços'!$A447:$W447)&gt;0,IF((COUNTBLANK('Lista de Preços'!$A447)+COUNTBLANK('Lista de Preços'!$B447)+COUNTBLANK('Lista de Preços'!$C447)+COUNTBLANK('Lista de Preços'!$D447)+COUNTBLANK('Lista de Preços'!$E447)+COUNTBLANK('Lista de Preços'!$F447)+COUNTBLANK('Lista de Preços'!$L447)+COUNTBLANK('Lista de Preços'!$M447)+COUNTBLANK('Lista de Preços'!$P447)+COUNTBLANK('Lista de Preços'!$U447)+COUNTBLANK('Lista de Preços'!$V447))&gt;0,"ERRO","OK"),"")</f>
        <v/>
      </c>
      <c r="D458" s="27" t="str">
        <f aca="false">IF(COUNTA('Lista de Preços'!$A447:$W447)&gt;0,IF(OR(AND('Lista de Preços'!$L447&lt;&gt;"",NOT(ISNUMBER('Lista de Preços'!$L447))),AND('Lista de Preços'!$M447&lt;&gt;"",NOT(ISNUMBER('Lista de Preços'!$M447)))),"ERRO","OK"),"")</f>
        <v/>
      </c>
      <c r="E458" s="27" t="str">
        <f aca="false">IF(COUNTA('Lista de Preços'!$A447:$W447)&gt;0,IF(AND(ISNUMBER('Lista de Preços'!$L447),ISNUMBER('Lista de Preços'!$M447),'Lista de Preços'!$L447&gt;'Lista de Preços'!$M447),"ERRO","OK"),"")</f>
        <v/>
      </c>
      <c r="F458" s="27" t="str">
        <f aca="true">IF(COUNTA('Lista de Preços'!$A447:$W447)&gt;0,IF(AND('Lista de Preços'!$S447&lt;&gt;"",ISNUMBER('Lista de Preços'!$S447),'Lista de Preços'!$S447&lt;TODAY()),"ERRO","OK"),"")</f>
        <v/>
      </c>
      <c r="G458" s="27" t="str">
        <f aca="false">IF(COUNTA('Lista de Preços'!$A447:$W447)&gt;0,IF(AND('Lista de Preços'!$A447&lt;&gt;"",COUNTIF('Lista de Preços'!$A$4:$A$503,'Lista de Preços'!$A447)&gt;1),"ERRO","OK"),"")</f>
        <v/>
      </c>
      <c r="H458" s="27" t="str">
        <f aca="false">IF(COUNTA('Lista de Preços'!$A447:$W447)&gt;0,IF(AND('Lista de Preços'!$N447&lt;&gt;"",ISNUMBER('Lista de Preços'!$N447),OR('Lista de Preços'!$N447&lt;0,'Lista de Preços'!$N447&gt;0.5)),"ERRO","OK"),"")</f>
        <v/>
      </c>
      <c r="I458" s="27" t="str">
        <f aca="false">IF(COUNTA('Lista de Preços'!$A447:$W447)&gt;0,IF(OR($C458="ERRO",$D458="ERRO",$E458="ERRO",$F458="ERRO",$G458="ERRO",$H458="ERRO"),"FALHA","OK"),"")</f>
        <v/>
      </c>
    </row>
    <row r="459" customFormat="false" ht="15" hidden="false" customHeight="false" outlineLevel="0" collapsed="false">
      <c r="A459" s="26" t="n">
        <f aca="false">'Lista de Preços'!$A448</f>
        <v>0</v>
      </c>
      <c r="B459" s="26" t="n">
        <f aca="false">'Lista de Preços'!$B448</f>
        <v>0</v>
      </c>
      <c r="C459" s="27" t="str">
        <f aca="false">IF(COUNTA('Lista de Preços'!$A448:$W448)&gt;0,IF((COUNTBLANK('Lista de Preços'!$A448)+COUNTBLANK('Lista de Preços'!$B448)+COUNTBLANK('Lista de Preços'!$C448)+COUNTBLANK('Lista de Preços'!$D448)+COUNTBLANK('Lista de Preços'!$E448)+COUNTBLANK('Lista de Preços'!$F448)+COUNTBLANK('Lista de Preços'!$L448)+COUNTBLANK('Lista de Preços'!$M448)+COUNTBLANK('Lista de Preços'!$P448)+COUNTBLANK('Lista de Preços'!$U448)+COUNTBLANK('Lista de Preços'!$V448))&gt;0,"ERRO","OK"),"")</f>
        <v/>
      </c>
      <c r="D459" s="27" t="str">
        <f aca="false">IF(COUNTA('Lista de Preços'!$A448:$W448)&gt;0,IF(OR(AND('Lista de Preços'!$L448&lt;&gt;"",NOT(ISNUMBER('Lista de Preços'!$L448))),AND('Lista de Preços'!$M448&lt;&gt;"",NOT(ISNUMBER('Lista de Preços'!$M448)))),"ERRO","OK"),"")</f>
        <v/>
      </c>
      <c r="E459" s="27" t="str">
        <f aca="false">IF(COUNTA('Lista de Preços'!$A448:$W448)&gt;0,IF(AND(ISNUMBER('Lista de Preços'!$L448),ISNUMBER('Lista de Preços'!$M448),'Lista de Preços'!$L448&gt;'Lista de Preços'!$M448),"ERRO","OK"),"")</f>
        <v/>
      </c>
      <c r="F459" s="27" t="str">
        <f aca="true">IF(COUNTA('Lista de Preços'!$A448:$W448)&gt;0,IF(AND('Lista de Preços'!$S448&lt;&gt;"",ISNUMBER('Lista de Preços'!$S448),'Lista de Preços'!$S448&lt;TODAY()),"ERRO","OK"),"")</f>
        <v/>
      </c>
      <c r="G459" s="27" t="str">
        <f aca="false">IF(COUNTA('Lista de Preços'!$A448:$W448)&gt;0,IF(AND('Lista de Preços'!$A448&lt;&gt;"",COUNTIF('Lista de Preços'!$A$4:$A$503,'Lista de Preços'!$A448)&gt;1),"ERRO","OK"),"")</f>
        <v/>
      </c>
      <c r="H459" s="27" t="str">
        <f aca="false">IF(COUNTA('Lista de Preços'!$A448:$W448)&gt;0,IF(AND('Lista de Preços'!$N448&lt;&gt;"",ISNUMBER('Lista de Preços'!$N448),OR('Lista de Preços'!$N448&lt;0,'Lista de Preços'!$N448&gt;0.5)),"ERRO","OK"),"")</f>
        <v/>
      </c>
      <c r="I459" s="27" t="str">
        <f aca="false">IF(COUNTA('Lista de Preços'!$A448:$W448)&gt;0,IF(OR($C459="ERRO",$D459="ERRO",$E459="ERRO",$F459="ERRO",$G459="ERRO",$H459="ERRO"),"FALHA","OK"),"")</f>
        <v/>
      </c>
    </row>
    <row r="460" customFormat="false" ht="15" hidden="false" customHeight="false" outlineLevel="0" collapsed="false">
      <c r="A460" s="26" t="n">
        <f aca="false">'Lista de Preços'!$A449</f>
        <v>0</v>
      </c>
      <c r="B460" s="26" t="n">
        <f aca="false">'Lista de Preços'!$B449</f>
        <v>0</v>
      </c>
      <c r="C460" s="27" t="str">
        <f aca="false">IF(COUNTA('Lista de Preços'!$A449:$W449)&gt;0,IF((COUNTBLANK('Lista de Preços'!$A449)+COUNTBLANK('Lista de Preços'!$B449)+COUNTBLANK('Lista de Preços'!$C449)+COUNTBLANK('Lista de Preços'!$D449)+COUNTBLANK('Lista de Preços'!$E449)+COUNTBLANK('Lista de Preços'!$F449)+COUNTBLANK('Lista de Preços'!$L449)+COUNTBLANK('Lista de Preços'!$M449)+COUNTBLANK('Lista de Preços'!$P449)+COUNTBLANK('Lista de Preços'!$U449)+COUNTBLANK('Lista de Preços'!$V449))&gt;0,"ERRO","OK"),"")</f>
        <v/>
      </c>
      <c r="D460" s="27" t="str">
        <f aca="false">IF(COUNTA('Lista de Preços'!$A449:$W449)&gt;0,IF(OR(AND('Lista de Preços'!$L449&lt;&gt;"",NOT(ISNUMBER('Lista de Preços'!$L449))),AND('Lista de Preços'!$M449&lt;&gt;"",NOT(ISNUMBER('Lista de Preços'!$M449)))),"ERRO","OK"),"")</f>
        <v/>
      </c>
      <c r="E460" s="27" t="str">
        <f aca="false">IF(COUNTA('Lista de Preços'!$A449:$W449)&gt;0,IF(AND(ISNUMBER('Lista de Preços'!$L449),ISNUMBER('Lista de Preços'!$M449),'Lista de Preços'!$L449&gt;'Lista de Preços'!$M449),"ERRO","OK"),"")</f>
        <v/>
      </c>
      <c r="F460" s="27" t="str">
        <f aca="true">IF(COUNTA('Lista de Preços'!$A449:$W449)&gt;0,IF(AND('Lista de Preços'!$S449&lt;&gt;"",ISNUMBER('Lista de Preços'!$S449),'Lista de Preços'!$S449&lt;TODAY()),"ERRO","OK"),"")</f>
        <v/>
      </c>
      <c r="G460" s="27" t="str">
        <f aca="false">IF(COUNTA('Lista de Preços'!$A449:$W449)&gt;0,IF(AND('Lista de Preços'!$A449&lt;&gt;"",COUNTIF('Lista de Preços'!$A$4:$A$503,'Lista de Preços'!$A449)&gt;1),"ERRO","OK"),"")</f>
        <v/>
      </c>
      <c r="H460" s="27" t="str">
        <f aca="false">IF(COUNTA('Lista de Preços'!$A449:$W449)&gt;0,IF(AND('Lista de Preços'!$N449&lt;&gt;"",ISNUMBER('Lista de Preços'!$N449),OR('Lista de Preços'!$N449&lt;0,'Lista de Preços'!$N449&gt;0.5)),"ERRO","OK"),"")</f>
        <v/>
      </c>
      <c r="I460" s="27" t="str">
        <f aca="false">IF(COUNTA('Lista de Preços'!$A449:$W449)&gt;0,IF(OR($C460="ERRO",$D460="ERRO",$E460="ERRO",$F460="ERRO",$G460="ERRO",$H460="ERRO"),"FALHA","OK"),"")</f>
        <v/>
      </c>
    </row>
    <row r="461" customFormat="false" ht="15" hidden="false" customHeight="false" outlineLevel="0" collapsed="false">
      <c r="A461" s="26" t="n">
        <f aca="false">'Lista de Preços'!$A450</f>
        <v>0</v>
      </c>
      <c r="B461" s="26" t="n">
        <f aca="false">'Lista de Preços'!$B450</f>
        <v>0</v>
      </c>
      <c r="C461" s="27" t="str">
        <f aca="false">IF(COUNTA('Lista de Preços'!$A450:$W450)&gt;0,IF((COUNTBLANK('Lista de Preços'!$A450)+COUNTBLANK('Lista de Preços'!$B450)+COUNTBLANK('Lista de Preços'!$C450)+COUNTBLANK('Lista de Preços'!$D450)+COUNTBLANK('Lista de Preços'!$E450)+COUNTBLANK('Lista de Preços'!$F450)+COUNTBLANK('Lista de Preços'!$L450)+COUNTBLANK('Lista de Preços'!$M450)+COUNTBLANK('Lista de Preços'!$P450)+COUNTBLANK('Lista de Preços'!$U450)+COUNTBLANK('Lista de Preços'!$V450))&gt;0,"ERRO","OK"),"")</f>
        <v/>
      </c>
      <c r="D461" s="27" t="str">
        <f aca="false">IF(COUNTA('Lista de Preços'!$A450:$W450)&gt;0,IF(OR(AND('Lista de Preços'!$L450&lt;&gt;"",NOT(ISNUMBER('Lista de Preços'!$L450))),AND('Lista de Preços'!$M450&lt;&gt;"",NOT(ISNUMBER('Lista de Preços'!$M450)))),"ERRO","OK"),"")</f>
        <v/>
      </c>
      <c r="E461" s="27" t="str">
        <f aca="false">IF(COUNTA('Lista de Preços'!$A450:$W450)&gt;0,IF(AND(ISNUMBER('Lista de Preços'!$L450),ISNUMBER('Lista de Preços'!$M450),'Lista de Preços'!$L450&gt;'Lista de Preços'!$M450),"ERRO","OK"),"")</f>
        <v/>
      </c>
      <c r="F461" s="27" t="str">
        <f aca="true">IF(COUNTA('Lista de Preços'!$A450:$W450)&gt;0,IF(AND('Lista de Preços'!$S450&lt;&gt;"",ISNUMBER('Lista de Preços'!$S450),'Lista de Preços'!$S450&lt;TODAY()),"ERRO","OK"),"")</f>
        <v/>
      </c>
      <c r="G461" s="27" t="str">
        <f aca="false">IF(COUNTA('Lista de Preços'!$A450:$W450)&gt;0,IF(AND('Lista de Preços'!$A450&lt;&gt;"",COUNTIF('Lista de Preços'!$A$4:$A$503,'Lista de Preços'!$A450)&gt;1),"ERRO","OK"),"")</f>
        <v/>
      </c>
      <c r="H461" s="27" t="str">
        <f aca="false">IF(COUNTA('Lista de Preços'!$A450:$W450)&gt;0,IF(AND('Lista de Preços'!$N450&lt;&gt;"",ISNUMBER('Lista de Preços'!$N450),OR('Lista de Preços'!$N450&lt;0,'Lista de Preços'!$N450&gt;0.5)),"ERRO","OK"),"")</f>
        <v/>
      </c>
      <c r="I461" s="27" t="str">
        <f aca="false">IF(COUNTA('Lista de Preços'!$A450:$W450)&gt;0,IF(OR($C461="ERRO",$D461="ERRO",$E461="ERRO",$F461="ERRO",$G461="ERRO",$H461="ERRO"),"FALHA","OK"),"")</f>
        <v/>
      </c>
    </row>
    <row r="462" customFormat="false" ht="15" hidden="false" customHeight="false" outlineLevel="0" collapsed="false">
      <c r="A462" s="26" t="n">
        <f aca="false">'Lista de Preços'!$A451</f>
        <v>0</v>
      </c>
      <c r="B462" s="26" t="n">
        <f aca="false">'Lista de Preços'!$B451</f>
        <v>0</v>
      </c>
      <c r="C462" s="27" t="str">
        <f aca="false">IF(COUNTA('Lista de Preços'!$A451:$W451)&gt;0,IF((COUNTBLANK('Lista de Preços'!$A451)+COUNTBLANK('Lista de Preços'!$B451)+COUNTBLANK('Lista de Preços'!$C451)+COUNTBLANK('Lista de Preços'!$D451)+COUNTBLANK('Lista de Preços'!$E451)+COUNTBLANK('Lista de Preços'!$F451)+COUNTBLANK('Lista de Preços'!$L451)+COUNTBLANK('Lista de Preços'!$M451)+COUNTBLANK('Lista de Preços'!$P451)+COUNTBLANK('Lista de Preços'!$U451)+COUNTBLANK('Lista de Preços'!$V451))&gt;0,"ERRO","OK"),"")</f>
        <v/>
      </c>
      <c r="D462" s="27" t="str">
        <f aca="false">IF(COUNTA('Lista de Preços'!$A451:$W451)&gt;0,IF(OR(AND('Lista de Preços'!$L451&lt;&gt;"",NOT(ISNUMBER('Lista de Preços'!$L451))),AND('Lista de Preços'!$M451&lt;&gt;"",NOT(ISNUMBER('Lista de Preços'!$M451)))),"ERRO","OK"),"")</f>
        <v/>
      </c>
      <c r="E462" s="27" t="str">
        <f aca="false">IF(COUNTA('Lista de Preços'!$A451:$W451)&gt;0,IF(AND(ISNUMBER('Lista de Preços'!$L451),ISNUMBER('Lista de Preços'!$M451),'Lista de Preços'!$L451&gt;'Lista de Preços'!$M451),"ERRO","OK"),"")</f>
        <v/>
      </c>
      <c r="F462" s="27" t="str">
        <f aca="true">IF(COUNTA('Lista de Preços'!$A451:$W451)&gt;0,IF(AND('Lista de Preços'!$S451&lt;&gt;"",ISNUMBER('Lista de Preços'!$S451),'Lista de Preços'!$S451&lt;TODAY()),"ERRO","OK"),"")</f>
        <v/>
      </c>
      <c r="G462" s="27" t="str">
        <f aca="false">IF(COUNTA('Lista de Preços'!$A451:$W451)&gt;0,IF(AND('Lista de Preços'!$A451&lt;&gt;"",COUNTIF('Lista de Preços'!$A$4:$A$503,'Lista de Preços'!$A451)&gt;1),"ERRO","OK"),"")</f>
        <v/>
      </c>
      <c r="H462" s="27" t="str">
        <f aca="false">IF(COUNTA('Lista de Preços'!$A451:$W451)&gt;0,IF(AND('Lista de Preços'!$N451&lt;&gt;"",ISNUMBER('Lista de Preços'!$N451),OR('Lista de Preços'!$N451&lt;0,'Lista de Preços'!$N451&gt;0.5)),"ERRO","OK"),"")</f>
        <v/>
      </c>
      <c r="I462" s="27" t="str">
        <f aca="false">IF(COUNTA('Lista de Preços'!$A451:$W451)&gt;0,IF(OR($C462="ERRO",$D462="ERRO",$E462="ERRO",$F462="ERRO",$G462="ERRO",$H462="ERRO"),"FALHA","OK"),"")</f>
        <v/>
      </c>
    </row>
    <row r="463" customFormat="false" ht="15" hidden="false" customHeight="false" outlineLevel="0" collapsed="false">
      <c r="A463" s="26" t="n">
        <f aca="false">'Lista de Preços'!$A452</f>
        <v>0</v>
      </c>
      <c r="B463" s="26" t="n">
        <f aca="false">'Lista de Preços'!$B452</f>
        <v>0</v>
      </c>
      <c r="C463" s="27" t="str">
        <f aca="false">IF(COUNTA('Lista de Preços'!$A452:$W452)&gt;0,IF((COUNTBLANK('Lista de Preços'!$A452)+COUNTBLANK('Lista de Preços'!$B452)+COUNTBLANK('Lista de Preços'!$C452)+COUNTBLANK('Lista de Preços'!$D452)+COUNTBLANK('Lista de Preços'!$E452)+COUNTBLANK('Lista de Preços'!$F452)+COUNTBLANK('Lista de Preços'!$L452)+COUNTBLANK('Lista de Preços'!$M452)+COUNTBLANK('Lista de Preços'!$P452)+COUNTBLANK('Lista de Preços'!$U452)+COUNTBLANK('Lista de Preços'!$V452))&gt;0,"ERRO","OK"),"")</f>
        <v/>
      </c>
      <c r="D463" s="27" t="str">
        <f aca="false">IF(COUNTA('Lista de Preços'!$A452:$W452)&gt;0,IF(OR(AND('Lista de Preços'!$L452&lt;&gt;"",NOT(ISNUMBER('Lista de Preços'!$L452))),AND('Lista de Preços'!$M452&lt;&gt;"",NOT(ISNUMBER('Lista de Preços'!$M452)))),"ERRO","OK"),"")</f>
        <v/>
      </c>
      <c r="E463" s="27" t="str">
        <f aca="false">IF(COUNTA('Lista de Preços'!$A452:$W452)&gt;0,IF(AND(ISNUMBER('Lista de Preços'!$L452),ISNUMBER('Lista de Preços'!$M452),'Lista de Preços'!$L452&gt;'Lista de Preços'!$M452),"ERRO","OK"),"")</f>
        <v/>
      </c>
      <c r="F463" s="27" t="str">
        <f aca="true">IF(COUNTA('Lista de Preços'!$A452:$W452)&gt;0,IF(AND('Lista de Preços'!$S452&lt;&gt;"",ISNUMBER('Lista de Preços'!$S452),'Lista de Preços'!$S452&lt;TODAY()),"ERRO","OK"),"")</f>
        <v/>
      </c>
      <c r="G463" s="27" t="str">
        <f aca="false">IF(COUNTA('Lista de Preços'!$A452:$W452)&gt;0,IF(AND('Lista de Preços'!$A452&lt;&gt;"",COUNTIF('Lista de Preços'!$A$4:$A$503,'Lista de Preços'!$A452)&gt;1),"ERRO","OK"),"")</f>
        <v/>
      </c>
      <c r="H463" s="27" t="str">
        <f aca="false">IF(COUNTA('Lista de Preços'!$A452:$W452)&gt;0,IF(AND('Lista de Preços'!$N452&lt;&gt;"",ISNUMBER('Lista de Preços'!$N452),OR('Lista de Preços'!$N452&lt;0,'Lista de Preços'!$N452&gt;0.5)),"ERRO","OK"),"")</f>
        <v/>
      </c>
      <c r="I463" s="27" t="str">
        <f aca="false">IF(COUNTA('Lista de Preços'!$A452:$W452)&gt;0,IF(OR($C463="ERRO",$D463="ERRO",$E463="ERRO",$F463="ERRO",$G463="ERRO",$H463="ERRO"),"FALHA","OK"),"")</f>
        <v/>
      </c>
    </row>
    <row r="464" customFormat="false" ht="15" hidden="false" customHeight="false" outlineLevel="0" collapsed="false">
      <c r="A464" s="26" t="n">
        <f aca="false">'Lista de Preços'!$A453</f>
        <v>0</v>
      </c>
      <c r="B464" s="26" t="n">
        <f aca="false">'Lista de Preços'!$B453</f>
        <v>0</v>
      </c>
      <c r="C464" s="27" t="str">
        <f aca="false">IF(COUNTA('Lista de Preços'!$A453:$W453)&gt;0,IF((COUNTBLANK('Lista de Preços'!$A453)+COUNTBLANK('Lista de Preços'!$B453)+COUNTBLANK('Lista de Preços'!$C453)+COUNTBLANK('Lista de Preços'!$D453)+COUNTBLANK('Lista de Preços'!$E453)+COUNTBLANK('Lista de Preços'!$F453)+COUNTBLANK('Lista de Preços'!$L453)+COUNTBLANK('Lista de Preços'!$M453)+COUNTBLANK('Lista de Preços'!$P453)+COUNTBLANK('Lista de Preços'!$U453)+COUNTBLANK('Lista de Preços'!$V453))&gt;0,"ERRO","OK"),"")</f>
        <v/>
      </c>
      <c r="D464" s="27" t="str">
        <f aca="false">IF(COUNTA('Lista de Preços'!$A453:$W453)&gt;0,IF(OR(AND('Lista de Preços'!$L453&lt;&gt;"",NOT(ISNUMBER('Lista de Preços'!$L453))),AND('Lista de Preços'!$M453&lt;&gt;"",NOT(ISNUMBER('Lista de Preços'!$M453)))),"ERRO","OK"),"")</f>
        <v/>
      </c>
      <c r="E464" s="27" t="str">
        <f aca="false">IF(COUNTA('Lista de Preços'!$A453:$W453)&gt;0,IF(AND(ISNUMBER('Lista de Preços'!$L453),ISNUMBER('Lista de Preços'!$M453),'Lista de Preços'!$L453&gt;'Lista de Preços'!$M453),"ERRO","OK"),"")</f>
        <v/>
      </c>
      <c r="F464" s="27" t="str">
        <f aca="true">IF(COUNTA('Lista de Preços'!$A453:$W453)&gt;0,IF(AND('Lista de Preços'!$S453&lt;&gt;"",ISNUMBER('Lista de Preços'!$S453),'Lista de Preços'!$S453&lt;TODAY()),"ERRO","OK"),"")</f>
        <v/>
      </c>
      <c r="G464" s="27" t="str">
        <f aca="false">IF(COUNTA('Lista de Preços'!$A453:$W453)&gt;0,IF(AND('Lista de Preços'!$A453&lt;&gt;"",COUNTIF('Lista de Preços'!$A$4:$A$503,'Lista de Preços'!$A453)&gt;1),"ERRO","OK"),"")</f>
        <v/>
      </c>
      <c r="H464" s="27" t="str">
        <f aca="false">IF(COUNTA('Lista de Preços'!$A453:$W453)&gt;0,IF(AND('Lista de Preços'!$N453&lt;&gt;"",ISNUMBER('Lista de Preços'!$N453),OR('Lista de Preços'!$N453&lt;0,'Lista de Preços'!$N453&gt;0.5)),"ERRO","OK"),"")</f>
        <v/>
      </c>
      <c r="I464" s="27" t="str">
        <f aca="false">IF(COUNTA('Lista de Preços'!$A453:$W453)&gt;0,IF(OR($C464="ERRO",$D464="ERRO",$E464="ERRO",$F464="ERRO",$G464="ERRO",$H464="ERRO"),"FALHA","OK"),"")</f>
        <v/>
      </c>
    </row>
    <row r="465" customFormat="false" ht="15" hidden="false" customHeight="false" outlineLevel="0" collapsed="false">
      <c r="A465" s="26" t="n">
        <f aca="false">'Lista de Preços'!$A454</f>
        <v>0</v>
      </c>
      <c r="B465" s="26" t="n">
        <f aca="false">'Lista de Preços'!$B454</f>
        <v>0</v>
      </c>
      <c r="C465" s="27" t="str">
        <f aca="false">IF(COUNTA('Lista de Preços'!$A454:$W454)&gt;0,IF((COUNTBLANK('Lista de Preços'!$A454)+COUNTBLANK('Lista de Preços'!$B454)+COUNTBLANK('Lista de Preços'!$C454)+COUNTBLANK('Lista de Preços'!$D454)+COUNTBLANK('Lista de Preços'!$E454)+COUNTBLANK('Lista de Preços'!$F454)+COUNTBLANK('Lista de Preços'!$L454)+COUNTBLANK('Lista de Preços'!$M454)+COUNTBLANK('Lista de Preços'!$P454)+COUNTBLANK('Lista de Preços'!$U454)+COUNTBLANK('Lista de Preços'!$V454))&gt;0,"ERRO","OK"),"")</f>
        <v/>
      </c>
      <c r="D465" s="27" t="str">
        <f aca="false">IF(COUNTA('Lista de Preços'!$A454:$W454)&gt;0,IF(OR(AND('Lista de Preços'!$L454&lt;&gt;"",NOT(ISNUMBER('Lista de Preços'!$L454))),AND('Lista de Preços'!$M454&lt;&gt;"",NOT(ISNUMBER('Lista de Preços'!$M454)))),"ERRO","OK"),"")</f>
        <v/>
      </c>
      <c r="E465" s="27" t="str">
        <f aca="false">IF(COUNTA('Lista de Preços'!$A454:$W454)&gt;0,IF(AND(ISNUMBER('Lista de Preços'!$L454),ISNUMBER('Lista de Preços'!$M454),'Lista de Preços'!$L454&gt;'Lista de Preços'!$M454),"ERRO","OK"),"")</f>
        <v/>
      </c>
      <c r="F465" s="27" t="str">
        <f aca="true">IF(COUNTA('Lista de Preços'!$A454:$W454)&gt;0,IF(AND('Lista de Preços'!$S454&lt;&gt;"",ISNUMBER('Lista de Preços'!$S454),'Lista de Preços'!$S454&lt;TODAY()),"ERRO","OK"),"")</f>
        <v/>
      </c>
      <c r="G465" s="27" t="str">
        <f aca="false">IF(COUNTA('Lista de Preços'!$A454:$W454)&gt;0,IF(AND('Lista de Preços'!$A454&lt;&gt;"",COUNTIF('Lista de Preços'!$A$4:$A$503,'Lista de Preços'!$A454)&gt;1),"ERRO","OK"),"")</f>
        <v/>
      </c>
      <c r="H465" s="27" t="str">
        <f aca="false">IF(COUNTA('Lista de Preços'!$A454:$W454)&gt;0,IF(AND('Lista de Preços'!$N454&lt;&gt;"",ISNUMBER('Lista de Preços'!$N454),OR('Lista de Preços'!$N454&lt;0,'Lista de Preços'!$N454&gt;0.5)),"ERRO","OK"),"")</f>
        <v/>
      </c>
      <c r="I465" s="27" t="str">
        <f aca="false">IF(COUNTA('Lista de Preços'!$A454:$W454)&gt;0,IF(OR($C465="ERRO",$D465="ERRO",$E465="ERRO",$F465="ERRO",$G465="ERRO",$H465="ERRO"),"FALHA","OK"),"")</f>
        <v/>
      </c>
    </row>
    <row r="466" customFormat="false" ht="15" hidden="false" customHeight="false" outlineLevel="0" collapsed="false">
      <c r="A466" s="26" t="n">
        <f aca="false">'Lista de Preços'!$A455</f>
        <v>0</v>
      </c>
      <c r="B466" s="26" t="n">
        <f aca="false">'Lista de Preços'!$B455</f>
        <v>0</v>
      </c>
      <c r="C466" s="27" t="str">
        <f aca="false">IF(COUNTA('Lista de Preços'!$A455:$W455)&gt;0,IF((COUNTBLANK('Lista de Preços'!$A455)+COUNTBLANK('Lista de Preços'!$B455)+COUNTBLANK('Lista de Preços'!$C455)+COUNTBLANK('Lista de Preços'!$D455)+COUNTBLANK('Lista de Preços'!$E455)+COUNTBLANK('Lista de Preços'!$F455)+COUNTBLANK('Lista de Preços'!$L455)+COUNTBLANK('Lista de Preços'!$M455)+COUNTBLANK('Lista de Preços'!$P455)+COUNTBLANK('Lista de Preços'!$U455)+COUNTBLANK('Lista de Preços'!$V455))&gt;0,"ERRO","OK"),"")</f>
        <v/>
      </c>
      <c r="D466" s="27" t="str">
        <f aca="false">IF(COUNTA('Lista de Preços'!$A455:$W455)&gt;0,IF(OR(AND('Lista de Preços'!$L455&lt;&gt;"",NOT(ISNUMBER('Lista de Preços'!$L455))),AND('Lista de Preços'!$M455&lt;&gt;"",NOT(ISNUMBER('Lista de Preços'!$M455)))),"ERRO","OK"),"")</f>
        <v/>
      </c>
      <c r="E466" s="27" t="str">
        <f aca="false">IF(COUNTA('Lista de Preços'!$A455:$W455)&gt;0,IF(AND(ISNUMBER('Lista de Preços'!$L455),ISNUMBER('Lista de Preços'!$M455),'Lista de Preços'!$L455&gt;'Lista de Preços'!$M455),"ERRO","OK"),"")</f>
        <v/>
      </c>
      <c r="F466" s="27" t="str">
        <f aca="true">IF(COUNTA('Lista de Preços'!$A455:$W455)&gt;0,IF(AND('Lista de Preços'!$S455&lt;&gt;"",ISNUMBER('Lista de Preços'!$S455),'Lista de Preços'!$S455&lt;TODAY()),"ERRO","OK"),"")</f>
        <v/>
      </c>
      <c r="G466" s="27" t="str">
        <f aca="false">IF(COUNTA('Lista de Preços'!$A455:$W455)&gt;0,IF(AND('Lista de Preços'!$A455&lt;&gt;"",COUNTIF('Lista de Preços'!$A$4:$A$503,'Lista de Preços'!$A455)&gt;1),"ERRO","OK"),"")</f>
        <v/>
      </c>
      <c r="H466" s="27" t="str">
        <f aca="false">IF(COUNTA('Lista de Preços'!$A455:$W455)&gt;0,IF(AND('Lista de Preços'!$N455&lt;&gt;"",ISNUMBER('Lista de Preços'!$N455),OR('Lista de Preços'!$N455&lt;0,'Lista de Preços'!$N455&gt;0.5)),"ERRO","OK"),"")</f>
        <v/>
      </c>
      <c r="I466" s="27" t="str">
        <f aca="false">IF(COUNTA('Lista de Preços'!$A455:$W455)&gt;0,IF(OR($C466="ERRO",$D466="ERRO",$E466="ERRO",$F466="ERRO",$G466="ERRO",$H466="ERRO"),"FALHA","OK"),"")</f>
        <v/>
      </c>
    </row>
    <row r="467" customFormat="false" ht="15" hidden="false" customHeight="false" outlineLevel="0" collapsed="false">
      <c r="A467" s="26" t="n">
        <f aca="false">'Lista de Preços'!$A456</f>
        <v>0</v>
      </c>
      <c r="B467" s="26" t="n">
        <f aca="false">'Lista de Preços'!$B456</f>
        <v>0</v>
      </c>
      <c r="C467" s="27" t="str">
        <f aca="false">IF(COUNTA('Lista de Preços'!$A456:$W456)&gt;0,IF((COUNTBLANK('Lista de Preços'!$A456)+COUNTBLANK('Lista de Preços'!$B456)+COUNTBLANK('Lista de Preços'!$C456)+COUNTBLANK('Lista de Preços'!$D456)+COUNTBLANK('Lista de Preços'!$E456)+COUNTBLANK('Lista de Preços'!$F456)+COUNTBLANK('Lista de Preços'!$L456)+COUNTBLANK('Lista de Preços'!$M456)+COUNTBLANK('Lista de Preços'!$P456)+COUNTBLANK('Lista de Preços'!$U456)+COUNTBLANK('Lista de Preços'!$V456))&gt;0,"ERRO","OK"),"")</f>
        <v/>
      </c>
      <c r="D467" s="27" t="str">
        <f aca="false">IF(COUNTA('Lista de Preços'!$A456:$W456)&gt;0,IF(OR(AND('Lista de Preços'!$L456&lt;&gt;"",NOT(ISNUMBER('Lista de Preços'!$L456))),AND('Lista de Preços'!$M456&lt;&gt;"",NOT(ISNUMBER('Lista de Preços'!$M456)))),"ERRO","OK"),"")</f>
        <v/>
      </c>
      <c r="E467" s="27" t="str">
        <f aca="false">IF(COUNTA('Lista de Preços'!$A456:$W456)&gt;0,IF(AND(ISNUMBER('Lista de Preços'!$L456),ISNUMBER('Lista de Preços'!$M456),'Lista de Preços'!$L456&gt;'Lista de Preços'!$M456),"ERRO","OK"),"")</f>
        <v/>
      </c>
      <c r="F467" s="27" t="str">
        <f aca="true">IF(COUNTA('Lista de Preços'!$A456:$W456)&gt;0,IF(AND('Lista de Preços'!$S456&lt;&gt;"",ISNUMBER('Lista de Preços'!$S456),'Lista de Preços'!$S456&lt;TODAY()),"ERRO","OK"),"")</f>
        <v/>
      </c>
      <c r="G467" s="27" t="str">
        <f aca="false">IF(COUNTA('Lista de Preços'!$A456:$W456)&gt;0,IF(AND('Lista de Preços'!$A456&lt;&gt;"",COUNTIF('Lista de Preços'!$A$4:$A$503,'Lista de Preços'!$A456)&gt;1),"ERRO","OK"),"")</f>
        <v/>
      </c>
      <c r="H467" s="27" t="str">
        <f aca="false">IF(COUNTA('Lista de Preços'!$A456:$W456)&gt;0,IF(AND('Lista de Preços'!$N456&lt;&gt;"",ISNUMBER('Lista de Preços'!$N456),OR('Lista de Preços'!$N456&lt;0,'Lista de Preços'!$N456&gt;0.5)),"ERRO","OK"),"")</f>
        <v/>
      </c>
      <c r="I467" s="27" t="str">
        <f aca="false">IF(COUNTA('Lista de Preços'!$A456:$W456)&gt;0,IF(OR($C467="ERRO",$D467="ERRO",$E467="ERRO",$F467="ERRO",$G467="ERRO",$H467="ERRO"),"FALHA","OK"),"")</f>
        <v/>
      </c>
    </row>
    <row r="468" customFormat="false" ht="15" hidden="false" customHeight="false" outlineLevel="0" collapsed="false">
      <c r="A468" s="26" t="n">
        <f aca="false">'Lista de Preços'!$A457</f>
        <v>0</v>
      </c>
      <c r="B468" s="26" t="n">
        <f aca="false">'Lista de Preços'!$B457</f>
        <v>0</v>
      </c>
      <c r="C468" s="27" t="str">
        <f aca="false">IF(COUNTA('Lista de Preços'!$A457:$W457)&gt;0,IF((COUNTBLANK('Lista de Preços'!$A457)+COUNTBLANK('Lista de Preços'!$B457)+COUNTBLANK('Lista de Preços'!$C457)+COUNTBLANK('Lista de Preços'!$D457)+COUNTBLANK('Lista de Preços'!$E457)+COUNTBLANK('Lista de Preços'!$F457)+COUNTBLANK('Lista de Preços'!$L457)+COUNTBLANK('Lista de Preços'!$M457)+COUNTBLANK('Lista de Preços'!$P457)+COUNTBLANK('Lista de Preços'!$U457)+COUNTBLANK('Lista de Preços'!$V457))&gt;0,"ERRO","OK"),"")</f>
        <v/>
      </c>
      <c r="D468" s="27" t="str">
        <f aca="false">IF(COUNTA('Lista de Preços'!$A457:$W457)&gt;0,IF(OR(AND('Lista de Preços'!$L457&lt;&gt;"",NOT(ISNUMBER('Lista de Preços'!$L457))),AND('Lista de Preços'!$M457&lt;&gt;"",NOT(ISNUMBER('Lista de Preços'!$M457)))),"ERRO","OK"),"")</f>
        <v/>
      </c>
      <c r="E468" s="27" t="str">
        <f aca="false">IF(COUNTA('Lista de Preços'!$A457:$W457)&gt;0,IF(AND(ISNUMBER('Lista de Preços'!$L457),ISNUMBER('Lista de Preços'!$M457),'Lista de Preços'!$L457&gt;'Lista de Preços'!$M457),"ERRO","OK"),"")</f>
        <v/>
      </c>
      <c r="F468" s="27" t="str">
        <f aca="true">IF(COUNTA('Lista de Preços'!$A457:$W457)&gt;0,IF(AND('Lista de Preços'!$S457&lt;&gt;"",ISNUMBER('Lista de Preços'!$S457),'Lista de Preços'!$S457&lt;TODAY()),"ERRO","OK"),"")</f>
        <v/>
      </c>
      <c r="G468" s="27" t="str">
        <f aca="false">IF(COUNTA('Lista de Preços'!$A457:$W457)&gt;0,IF(AND('Lista de Preços'!$A457&lt;&gt;"",COUNTIF('Lista de Preços'!$A$4:$A$503,'Lista de Preços'!$A457)&gt;1),"ERRO","OK"),"")</f>
        <v/>
      </c>
      <c r="H468" s="27" t="str">
        <f aca="false">IF(COUNTA('Lista de Preços'!$A457:$W457)&gt;0,IF(AND('Lista de Preços'!$N457&lt;&gt;"",ISNUMBER('Lista de Preços'!$N457),OR('Lista de Preços'!$N457&lt;0,'Lista de Preços'!$N457&gt;0.5)),"ERRO","OK"),"")</f>
        <v/>
      </c>
      <c r="I468" s="27" t="str">
        <f aca="false">IF(COUNTA('Lista de Preços'!$A457:$W457)&gt;0,IF(OR($C468="ERRO",$D468="ERRO",$E468="ERRO",$F468="ERRO",$G468="ERRO",$H468="ERRO"),"FALHA","OK"),"")</f>
        <v/>
      </c>
    </row>
    <row r="469" customFormat="false" ht="15" hidden="false" customHeight="false" outlineLevel="0" collapsed="false">
      <c r="A469" s="26" t="n">
        <f aca="false">'Lista de Preços'!$A458</f>
        <v>0</v>
      </c>
      <c r="B469" s="26" t="n">
        <f aca="false">'Lista de Preços'!$B458</f>
        <v>0</v>
      </c>
      <c r="C469" s="27" t="str">
        <f aca="false">IF(COUNTA('Lista de Preços'!$A458:$W458)&gt;0,IF((COUNTBLANK('Lista de Preços'!$A458)+COUNTBLANK('Lista de Preços'!$B458)+COUNTBLANK('Lista de Preços'!$C458)+COUNTBLANK('Lista de Preços'!$D458)+COUNTBLANK('Lista de Preços'!$E458)+COUNTBLANK('Lista de Preços'!$F458)+COUNTBLANK('Lista de Preços'!$L458)+COUNTBLANK('Lista de Preços'!$M458)+COUNTBLANK('Lista de Preços'!$P458)+COUNTBLANK('Lista de Preços'!$U458)+COUNTBLANK('Lista de Preços'!$V458))&gt;0,"ERRO","OK"),"")</f>
        <v/>
      </c>
      <c r="D469" s="27" t="str">
        <f aca="false">IF(COUNTA('Lista de Preços'!$A458:$W458)&gt;0,IF(OR(AND('Lista de Preços'!$L458&lt;&gt;"",NOT(ISNUMBER('Lista de Preços'!$L458))),AND('Lista de Preços'!$M458&lt;&gt;"",NOT(ISNUMBER('Lista de Preços'!$M458)))),"ERRO","OK"),"")</f>
        <v/>
      </c>
      <c r="E469" s="27" t="str">
        <f aca="false">IF(COUNTA('Lista de Preços'!$A458:$W458)&gt;0,IF(AND(ISNUMBER('Lista de Preços'!$L458),ISNUMBER('Lista de Preços'!$M458),'Lista de Preços'!$L458&gt;'Lista de Preços'!$M458),"ERRO","OK"),"")</f>
        <v/>
      </c>
      <c r="F469" s="27" t="str">
        <f aca="true">IF(COUNTA('Lista de Preços'!$A458:$W458)&gt;0,IF(AND('Lista de Preços'!$S458&lt;&gt;"",ISNUMBER('Lista de Preços'!$S458),'Lista de Preços'!$S458&lt;TODAY()),"ERRO","OK"),"")</f>
        <v/>
      </c>
      <c r="G469" s="27" t="str">
        <f aca="false">IF(COUNTA('Lista de Preços'!$A458:$W458)&gt;0,IF(AND('Lista de Preços'!$A458&lt;&gt;"",COUNTIF('Lista de Preços'!$A$4:$A$503,'Lista de Preços'!$A458)&gt;1),"ERRO","OK"),"")</f>
        <v/>
      </c>
      <c r="H469" s="27" t="str">
        <f aca="false">IF(COUNTA('Lista de Preços'!$A458:$W458)&gt;0,IF(AND('Lista de Preços'!$N458&lt;&gt;"",ISNUMBER('Lista de Preços'!$N458),OR('Lista de Preços'!$N458&lt;0,'Lista de Preços'!$N458&gt;0.5)),"ERRO","OK"),"")</f>
        <v/>
      </c>
      <c r="I469" s="27" t="str">
        <f aca="false">IF(COUNTA('Lista de Preços'!$A458:$W458)&gt;0,IF(OR($C469="ERRO",$D469="ERRO",$E469="ERRO",$F469="ERRO",$G469="ERRO",$H469="ERRO"),"FALHA","OK"),"")</f>
        <v/>
      </c>
    </row>
    <row r="470" customFormat="false" ht="15" hidden="false" customHeight="false" outlineLevel="0" collapsed="false">
      <c r="A470" s="26" t="n">
        <f aca="false">'Lista de Preços'!$A459</f>
        <v>0</v>
      </c>
      <c r="B470" s="26" t="n">
        <f aca="false">'Lista de Preços'!$B459</f>
        <v>0</v>
      </c>
      <c r="C470" s="27" t="str">
        <f aca="false">IF(COUNTA('Lista de Preços'!$A459:$W459)&gt;0,IF((COUNTBLANK('Lista de Preços'!$A459)+COUNTBLANK('Lista de Preços'!$B459)+COUNTBLANK('Lista de Preços'!$C459)+COUNTBLANK('Lista de Preços'!$D459)+COUNTBLANK('Lista de Preços'!$E459)+COUNTBLANK('Lista de Preços'!$F459)+COUNTBLANK('Lista de Preços'!$L459)+COUNTBLANK('Lista de Preços'!$M459)+COUNTBLANK('Lista de Preços'!$P459)+COUNTBLANK('Lista de Preços'!$U459)+COUNTBLANK('Lista de Preços'!$V459))&gt;0,"ERRO","OK"),"")</f>
        <v/>
      </c>
      <c r="D470" s="27" t="str">
        <f aca="false">IF(COUNTA('Lista de Preços'!$A459:$W459)&gt;0,IF(OR(AND('Lista de Preços'!$L459&lt;&gt;"",NOT(ISNUMBER('Lista de Preços'!$L459))),AND('Lista de Preços'!$M459&lt;&gt;"",NOT(ISNUMBER('Lista de Preços'!$M459)))),"ERRO","OK"),"")</f>
        <v/>
      </c>
      <c r="E470" s="27" t="str">
        <f aca="false">IF(COUNTA('Lista de Preços'!$A459:$W459)&gt;0,IF(AND(ISNUMBER('Lista de Preços'!$L459),ISNUMBER('Lista de Preços'!$M459),'Lista de Preços'!$L459&gt;'Lista de Preços'!$M459),"ERRO","OK"),"")</f>
        <v/>
      </c>
      <c r="F470" s="27" t="str">
        <f aca="true">IF(COUNTA('Lista de Preços'!$A459:$W459)&gt;0,IF(AND('Lista de Preços'!$S459&lt;&gt;"",ISNUMBER('Lista de Preços'!$S459),'Lista de Preços'!$S459&lt;TODAY()),"ERRO","OK"),"")</f>
        <v/>
      </c>
      <c r="G470" s="27" t="str">
        <f aca="false">IF(COUNTA('Lista de Preços'!$A459:$W459)&gt;0,IF(AND('Lista de Preços'!$A459&lt;&gt;"",COUNTIF('Lista de Preços'!$A$4:$A$503,'Lista de Preços'!$A459)&gt;1),"ERRO","OK"),"")</f>
        <v/>
      </c>
      <c r="H470" s="27" t="str">
        <f aca="false">IF(COUNTA('Lista de Preços'!$A459:$W459)&gt;0,IF(AND('Lista de Preços'!$N459&lt;&gt;"",ISNUMBER('Lista de Preços'!$N459),OR('Lista de Preços'!$N459&lt;0,'Lista de Preços'!$N459&gt;0.5)),"ERRO","OK"),"")</f>
        <v/>
      </c>
      <c r="I470" s="27" t="str">
        <f aca="false">IF(COUNTA('Lista de Preços'!$A459:$W459)&gt;0,IF(OR($C470="ERRO",$D470="ERRO",$E470="ERRO",$F470="ERRO",$G470="ERRO",$H470="ERRO"),"FALHA","OK"),"")</f>
        <v/>
      </c>
    </row>
    <row r="471" customFormat="false" ht="15" hidden="false" customHeight="false" outlineLevel="0" collapsed="false">
      <c r="A471" s="26" t="n">
        <f aca="false">'Lista de Preços'!$A460</f>
        <v>0</v>
      </c>
      <c r="B471" s="26" t="n">
        <f aca="false">'Lista de Preços'!$B460</f>
        <v>0</v>
      </c>
      <c r="C471" s="27" t="str">
        <f aca="false">IF(COUNTA('Lista de Preços'!$A460:$W460)&gt;0,IF((COUNTBLANK('Lista de Preços'!$A460)+COUNTBLANK('Lista de Preços'!$B460)+COUNTBLANK('Lista de Preços'!$C460)+COUNTBLANK('Lista de Preços'!$D460)+COUNTBLANK('Lista de Preços'!$E460)+COUNTBLANK('Lista de Preços'!$F460)+COUNTBLANK('Lista de Preços'!$L460)+COUNTBLANK('Lista de Preços'!$M460)+COUNTBLANK('Lista de Preços'!$P460)+COUNTBLANK('Lista de Preços'!$U460)+COUNTBLANK('Lista de Preços'!$V460))&gt;0,"ERRO","OK"),"")</f>
        <v/>
      </c>
      <c r="D471" s="27" t="str">
        <f aca="false">IF(COUNTA('Lista de Preços'!$A460:$W460)&gt;0,IF(OR(AND('Lista de Preços'!$L460&lt;&gt;"",NOT(ISNUMBER('Lista de Preços'!$L460))),AND('Lista de Preços'!$M460&lt;&gt;"",NOT(ISNUMBER('Lista de Preços'!$M460)))),"ERRO","OK"),"")</f>
        <v/>
      </c>
      <c r="E471" s="27" t="str">
        <f aca="false">IF(COUNTA('Lista de Preços'!$A460:$W460)&gt;0,IF(AND(ISNUMBER('Lista de Preços'!$L460),ISNUMBER('Lista de Preços'!$M460),'Lista de Preços'!$L460&gt;'Lista de Preços'!$M460),"ERRO","OK"),"")</f>
        <v/>
      </c>
      <c r="F471" s="27" t="str">
        <f aca="true">IF(COUNTA('Lista de Preços'!$A460:$W460)&gt;0,IF(AND('Lista de Preços'!$S460&lt;&gt;"",ISNUMBER('Lista de Preços'!$S460),'Lista de Preços'!$S460&lt;TODAY()),"ERRO","OK"),"")</f>
        <v/>
      </c>
      <c r="G471" s="27" t="str">
        <f aca="false">IF(COUNTA('Lista de Preços'!$A460:$W460)&gt;0,IF(AND('Lista de Preços'!$A460&lt;&gt;"",COUNTIF('Lista de Preços'!$A$4:$A$503,'Lista de Preços'!$A460)&gt;1),"ERRO","OK"),"")</f>
        <v/>
      </c>
      <c r="H471" s="27" t="str">
        <f aca="false">IF(COUNTA('Lista de Preços'!$A460:$W460)&gt;0,IF(AND('Lista de Preços'!$N460&lt;&gt;"",ISNUMBER('Lista de Preços'!$N460),OR('Lista de Preços'!$N460&lt;0,'Lista de Preços'!$N460&gt;0.5)),"ERRO","OK"),"")</f>
        <v/>
      </c>
      <c r="I471" s="27" t="str">
        <f aca="false">IF(COUNTA('Lista de Preços'!$A460:$W460)&gt;0,IF(OR($C471="ERRO",$D471="ERRO",$E471="ERRO",$F471="ERRO",$G471="ERRO",$H471="ERRO"),"FALHA","OK"),"")</f>
        <v/>
      </c>
    </row>
    <row r="472" customFormat="false" ht="15" hidden="false" customHeight="false" outlineLevel="0" collapsed="false">
      <c r="A472" s="26" t="n">
        <f aca="false">'Lista de Preços'!$A461</f>
        <v>0</v>
      </c>
      <c r="B472" s="26" t="n">
        <f aca="false">'Lista de Preços'!$B461</f>
        <v>0</v>
      </c>
      <c r="C472" s="27" t="str">
        <f aca="false">IF(COUNTA('Lista de Preços'!$A461:$W461)&gt;0,IF((COUNTBLANK('Lista de Preços'!$A461)+COUNTBLANK('Lista de Preços'!$B461)+COUNTBLANK('Lista de Preços'!$C461)+COUNTBLANK('Lista de Preços'!$D461)+COUNTBLANK('Lista de Preços'!$E461)+COUNTBLANK('Lista de Preços'!$F461)+COUNTBLANK('Lista de Preços'!$L461)+COUNTBLANK('Lista de Preços'!$M461)+COUNTBLANK('Lista de Preços'!$P461)+COUNTBLANK('Lista de Preços'!$U461)+COUNTBLANK('Lista de Preços'!$V461))&gt;0,"ERRO","OK"),"")</f>
        <v/>
      </c>
      <c r="D472" s="27" t="str">
        <f aca="false">IF(COUNTA('Lista de Preços'!$A461:$W461)&gt;0,IF(OR(AND('Lista de Preços'!$L461&lt;&gt;"",NOT(ISNUMBER('Lista de Preços'!$L461))),AND('Lista de Preços'!$M461&lt;&gt;"",NOT(ISNUMBER('Lista de Preços'!$M461)))),"ERRO","OK"),"")</f>
        <v/>
      </c>
      <c r="E472" s="27" t="str">
        <f aca="false">IF(COUNTA('Lista de Preços'!$A461:$W461)&gt;0,IF(AND(ISNUMBER('Lista de Preços'!$L461),ISNUMBER('Lista de Preços'!$M461),'Lista de Preços'!$L461&gt;'Lista de Preços'!$M461),"ERRO","OK"),"")</f>
        <v/>
      </c>
      <c r="F472" s="27" t="str">
        <f aca="true">IF(COUNTA('Lista de Preços'!$A461:$W461)&gt;0,IF(AND('Lista de Preços'!$S461&lt;&gt;"",ISNUMBER('Lista de Preços'!$S461),'Lista de Preços'!$S461&lt;TODAY()),"ERRO","OK"),"")</f>
        <v/>
      </c>
      <c r="G472" s="27" t="str">
        <f aca="false">IF(COUNTA('Lista de Preços'!$A461:$W461)&gt;0,IF(AND('Lista de Preços'!$A461&lt;&gt;"",COUNTIF('Lista de Preços'!$A$4:$A$503,'Lista de Preços'!$A461)&gt;1),"ERRO","OK"),"")</f>
        <v/>
      </c>
      <c r="H472" s="27" t="str">
        <f aca="false">IF(COUNTA('Lista de Preços'!$A461:$W461)&gt;0,IF(AND('Lista de Preços'!$N461&lt;&gt;"",ISNUMBER('Lista de Preços'!$N461),OR('Lista de Preços'!$N461&lt;0,'Lista de Preços'!$N461&gt;0.5)),"ERRO","OK"),"")</f>
        <v/>
      </c>
      <c r="I472" s="27" t="str">
        <f aca="false">IF(COUNTA('Lista de Preços'!$A461:$W461)&gt;0,IF(OR($C472="ERRO",$D472="ERRO",$E472="ERRO",$F472="ERRO",$G472="ERRO",$H472="ERRO"),"FALHA","OK"),"")</f>
        <v/>
      </c>
    </row>
    <row r="473" customFormat="false" ht="15" hidden="false" customHeight="false" outlineLevel="0" collapsed="false">
      <c r="A473" s="26" t="n">
        <f aca="false">'Lista de Preços'!$A462</f>
        <v>0</v>
      </c>
      <c r="B473" s="26" t="n">
        <f aca="false">'Lista de Preços'!$B462</f>
        <v>0</v>
      </c>
      <c r="C473" s="27" t="str">
        <f aca="false">IF(COUNTA('Lista de Preços'!$A462:$W462)&gt;0,IF((COUNTBLANK('Lista de Preços'!$A462)+COUNTBLANK('Lista de Preços'!$B462)+COUNTBLANK('Lista de Preços'!$C462)+COUNTBLANK('Lista de Preços'!$D462)+COUNTBLANK('Lista de Preços'!$E462)+COUNTBLANK('Lista de Preços'!$F462)+COUNTBLANK('Lista de Preços'!$L462)+COUNTBLANK('Lista de Preços'!$M462)+COUNTBLANK('Lista de Preços'!$P462)+COUNTBLANK('Lista de Preços'!$U462)+COUNTBLANK('Lista de Preços'!$V462))&gt;0,"ERRO","OK"),"")</f>
        <v/>
      </c>
      <c r="D473" s="27" t="str">
        <f aca="false">IF(COUNTA('Lista de Preços'!$A462:$W462)&gt;0,IF(OR(AND('Lista de Preços'!$L462&lt;&gt;"",NOT(ISNUMBER('Lista de Preços'!$L462))),AND('Lista de Preços'!$M462&lt;&gt;"",NOT(ISNUMBER('Lista de Preços'!$M462)))),"ERRO","OK"),"")</f>
        <v/>
      </c>
      <c r="E473" s="27" t="str">
        <f aca="false">IF(COUNTA('Lista de Preços'!$A462:$W462)&gt;0,IF(AND(ISNUMBER('Lista de Preços'!$L462),ISNUMBER('Lista de Preços'!$M462),'Lista de Preços'!$L462&gt;'Lista de Preços'!$M462),"ERRO","OK"),"")</f>
        <v/>
      </c>
      <c r="F473" s="27" t="str">
        <f aca="true">IF(COUNTA('Lista de Preços'!$A462:$W462)&gt;0,IF(AND('Lista de Preços'!$S462&lt;&gt;"",ISNUMBER('Lista de Preços'!$S462),'Lista de Preços'!$S462&lt;TODAY()),"ERRO","OK"),"")</f>
        <v/>
      </c>
      <c r="G473" s="27" t="str">
        <f aca="false">IF(COUNTA('Lista de Preços'!$A462:$W462)&gt;0,IF(AND('Lista de Preços'!$A462&lt;&gt;"",COUNTIF('Lista de Preços'!$A$4:$A$503,'Lista de Preços'!$A462)&gt;1),"ERRO","OK"),"")</f>
        <v/>
      </c>
      <c r="H473" s="27" t="str">
        <f aca="false">IF(COUNTA('Lista de Preços'!$A462:$W462)&gt;0,IF(AND('Lista de Preços'!$N462&lt;&gt;"",ISNUMBER('Lista de Preços'!$N462),OR('Lista de Preços'!$N462&lt;0,'Lista de Preços'!$N462&gt;0.5)),"ERRO","OK"),"")</f>
        <v/>
      </c>
      <c r="I473" s="27" t="str">
        <f aca="false">IF(COUNTA('Lista de Preços'!$A462:$W462)&gt;0,IF(OR($C473="ERRO",$D473="ERRO",$E473="ERRO",$F473="ERRO",$G473="ERRO",$H473="ERRO"),"FALHA","OK"),"")</f>
        <v/>
      </c>
    </row>
    <row r="474" customFormat="false" ht="15" hidden="false" customHeight="false" outlineLevel="0" collapsed="false">
      <c r="A474" s="26" t="n">
        <f aca="false">'Lista de Preços'!$A463</f>
        <v>0</v>
      </c>
      <c r="B474" s="26" t="n">
        <f aca="false">'Lista de Preços'!$B463</f>
        <v>0</v>
      </c>
      <c r="C474" s="27" t="str">
        <f aca="false">IF(COUNTA('Lista de Preços'!$A463:$W463)&gt;0,IF((COUNTBLANK('Lista de Preços'!$A463)+COUNTBLANK('Lista de Preços'!$B463)+COUNTBLANK('Lista de Preços'!$C463)+COUNTBLANK('Lista de Preços'!$D463)+COUNTBLANK('Lista de Preços'!$E463)+COUNTBLANK('Lista de Preços'!$F463)+COUNTBLANK('Lista de Preços'!$L463)+COUNTBLANK('Lista de Preços'!$M463)+COUNTBLANK('Lista de Preços'!$P463)+COUNTBLANK('Lista de Preços'!$U463)+COUNTBLANK('Lista de Preços'!$V463))&gt;0,"ERRO","OK"),"")</f>
        <v/>
      </c>
      <c r="D474" s="27" t="str">
        <f aca="false">IF(COUNTA('Lista de Preços'!$A463:$W463)&gt;0,IF(OR(AND('Lista de Preços'!$L463&lt;&gt;"",NOT(ISNUMBER('Lista de Preços'!$L463))),AND('Lista de Preços'!$M463&lt;&gt;"",NOT(ISNUMBER('Lista de Preços'!$M463)))),"ERRO","OK"),"")</f>
        <v/>
      </c>
      <c r="E474" s="27" t="str">
        <f aca="false">IF(COUNTA('Lista de Preços'!$A463:$W463)&gt;0,IF(AND(ISNUMBER('Lista de Preços'!$L463),ISNUMBER('Lista de Preços'!$M463),'Lista de Preços'!$L463&gt;'Lista de Preços'!$M463),"ERRO","OK"),"")</f>
        <v/>
      </c>
      <c r="F474" s="27" t="str">
        <f aca="true">IF(COUNTA('Lista de Preços'!$A463:$W463)&gt;0,IF(AND('Lista de Preços'!$S463&lt;&gt;"",ISNUMBER('Lista de Preços'!$S463),'Lista de Preços'!$S463&lt;TODAY()),"ERRO","OK"),"")</f>
        <v/>
      </c>
      <c r="G474" s="27" t="str">
        <f aca="false">IF(COUNTA('Lista de Preços'!$A463:$W463)&gt;0,IF(AND('Lista de Preços'!$A463&lt;&gt;"",COUNTIF('Lista de Preços'!$A$4:$A$503,'Lista de Preços'!$A463)&gt;1),"ERRO","OK"),"")</f>
        <v/>
      </c>
      <c r="H474" s="27" t="str">
        <f aca="false">IF(COUNTA('Lista de Preços'!$A463:$W463)&gt;0,IF(AND('Lista de Preços'!$N463&lt;&gt;"",ISNUMBER('Lista de Preços'!$N463),OR('Lista de Preços'!$N463&lt;0,'Lista de Preços'!$N463&gt;0.5)),"ERRO","OK"),"")</f>
        <v/>
      </c>
      <c r="I474" s="27" t="str">
        <f aca="false">IF(COUNTA('Lista de Preços'!$A463:$W463)&gt;0,IF(OR($C474="ERRO",$D474="ERRO",$E474="ERRO",$F474="ERRO",$G474="ERRO",$H474="ERRO"),"FALHA","OK"),"")</f>
        <v/>
      </c>
    </row>
    <row r="475" customFormat="false" ht="15" hidden="false" customHeight="false" outlineLevel="0" collapsed="false">
      <c r="A475" s="26" t="n">
        <f aca="false">'Lista de Preços'!$A464</f>
        <v>0</v>
      </c>
      <c r="B475" s="26" t="n">
        <f aca="false">'Lista de Preços'!$B464</f>
        <v>0</v>
      </c>
      <c r="C475" s="27" t="str">
        <f aca="false">IF(COUNTA('Lista de Preços'!$A464:$W464)&gt;0,IF((COUNTBLANK('Lista de Preços'!$A464)+COUNTBLANK('Lista de Preços'!$B464)+COUNTBLANK('Lista de Preços'!$C464)+COUNTBLANK('Lista de Preços'!$D464)+COUNTBLANK('Lista de Preços'!$E464)+COUNTBLANK('Lista de Preços'!$F464)+COUNTBLANK('Lista de Preços'!$L464)+COUNTBLANK('Lista de Preços'!$M464)+COUNTBLANK('Lista de Preços'!$P464)+COUNTBLANK('Lista de Preços'!$U464)+COUNTBLANK('Lista de Preços'!$V464))&gt;0,"ERRO","OK"),"")</f>
        <v/>
      </c>
      <c r="D475" s="27" t="str">
        <f aca="false">IF(COUNTA('Lista de Preços'!$A464:$W464)&gt;0,IF(OR(AND('Lista de Preços'!$L464&lt;&gt;"",NOT(ISNUMBER('Lista de Preços'!$L464))),AND('Lista de Preços'!$M464&lt;&gt;"",NOT(ISNUMBER('Lista de Preços'!$M464)))),"ERRO","OK"),"")</f>
        <v/>
      </c>
      <c r="E475" s="27" t="str">
        <f aca="false">IF(COUNTA('Lista de Preços'!$A464:$W464)&gt;0,IF(AND(ISNUMBER('Lista de Preços'!$L464),ISNUMBER('Lista de Preços'!$M464),'Lista de Preços'!$L464&gt;'Lista de Preços'!$M464),"ERRO","OK"),"")</f>
        <v/>
      </c>
      <c r="F475" s="27" t="str">
        <f aca="true">IF(COUNTA('Lista de Preços'!$A464:$W464)&gt;0,IF(AND('Lista de Preços'!$S464&lt;&gt;"",ISNUMBER('Lista de Preços'!$S464),'Lista de Preços'!$S464&lt;TODAY()),"ERRO","OK"),"")</f>
        <v/>
      </c>
      <c r="G475" s="27" t="str">
        <f aca="false">IF(COUNTA('Lista de Preços'!$A464:$W464)&gt;0,IF(AND('Lista de Preços'!$A464&lt;&gt;"",COUNTIF('Lista de Preços'!$A$4:$A$503,'Lista de Preços'!$A464)&gt;1),"ERRO","OK"),"")</f>
        <v/>
      </c>
      <c r="H475" s="27" t="str">
        <f aca="false">IF(COUNTA('Lista de Preços'!$A464:$W464)&gt;0,IF(AND('Lista de Preços'!$N464&lt;&gt;"",ISNUMBER('Lista de Preços'!$N464),OR('Lista de Preços'!$N464&lt;0,'Lista de Preços'!$N464&gt;0.5)),"ERRO","OK"),"")</f>
        <v/>
      </c>
      <c r="I475" s="27" t="str">
        <f aca="false">IF(COUNTA('Lista de Preços'!$A464:$W464)&gt;0,IF(OR($C475="ERRO",$D475="ERRO",$E475="ERRO",$F475="ERRO",$G475="ERRO",$H475="ERRO"),"FALHA","OK"),"")</f>
        <v/>
      </c>
    </row>
    <row r="476" customFormat="false" ht="15" hidden="false" customHeight="false" outlineLevel="0" collapsed="false">
      <c r="A476" s="26" t="n">
        <f aca="false">'Lista de Preços'!$A465</f>
        <v>0</v>
      </c>
      <c r="B476" s="26" t="n">
        <f aca="false">'Lista de Preços'!$B465</f>
        <v>0</v>
      </c>
      <c r="C476" s="27" t="str">
        <f aca="false">IF(COUNTA('Lista de Preços'!$A465:$W465)&gt;0,IF((COUNTBLANK('Lista de Preços'!$A465)+COUNTBLANK('Lista de Preços'!$B465)+COUNTBLANK('Lista de Preços'!$C465)+COUNTBLANK('Lista de Preços'!$D465)+COUNTBLANK('Lista de Preços'!$E465)+COUNTBLANK('Lista de Preços'!$F465)+COUNTBLANK('Lista de Preços'!$L465)+COUNTBLANK('Lista de Preços'!$M465)+COUNTBLANK('Lista de Preços'!$P465)+COUNTBLANK('Lista de Preços'!$U465)+COUNTBLANK('Lista de Preços'!$V465))&gt;0,"ERRO","OK"),"")</f>
        <v/>
      </c>
      <c r="D476" s="27" t="str">
        <f aca="false">IF(COUNTA('Lista de Preços'!$A465:$W465)&gt;0,IF(OR(AND('Lista de Preços'!$L465&lt;&gt;"",NOT(ISNUMBER('Lista de Preços'!$L465))),AND('Lista de Preços'!$M465&lt;&gt;"",NOT(ISNUMBER('Lista de Preços'!$M465)))),"ERRO","OK"),"")</f>
        <v/>
      </c>
      <c r="E476" s="27" t="str">
        <f aca="false">IF(COUNTA('Lista de Preços'!$A465:$W465)&gt;0,IF(AND(ISNUMBER('Lista de Preços'!$L465),ISNUMBER('Lista de Preços'!$M465),'Lista de Preços'!$L465&gt;'Lista de Preços'!$M465),"ERRO","OK"),"")</f>
        <v/>
      </c>
      <c r="F476" s="27" t="str">
        <f aca="true">IF(COUNTA('Lista de Preços'!$A465:$W465)&gt;0,IF(AND('Lista de Preços'!$S465&lt;&gt;"",ISNUMBER('Lista de Preços'!$S465),'Lista de Preços'!$S465&lt;TODAY()),"ERRO","OK"),"")</f>
        <v/>
      </c>
      <c r="G476" s="27" t="str">
        <f aca="false">IF(COUNTA('Lista de Preços'!$A465:$W465)&gt;0,IF(AND('Lista de Preços'!$A465&lt;&gt;"",COUNTIF('Lista de Preços'!$A$4:$A$503,'Lista de Preços'!$A465)&gt;1),"ERRO","OK"),"")</f>
        <v/>
      </c>
      <c r="H476" s="27" t="str">
        <f aca="false">IF(COUNTA('Lista de Preços'!$A465:$W465)&gt;0,IF(AND('Lista de Preços'!$N465&lt;&gt;"",ISNUMBER('Lista de Preços'!$N465),OR('Lista de Preços'!$N465&lt;0,'Lista de Preços'!$N465&gt;0.5)),"ERRO","OK"),"")</f>
        <v/>
      </c>
      <c r="I476" s="27" t="str">
        <f aca="false">IF(COUNTA('Lista de Preços'!$A465:$W465)&gt;0,IF(OR($C476="ERRO",$D476="ERRO",$E476="ERRO",$F476="ERRO",$G476="ERRO",$H476="ERRO"),"FALHA","OK"),"")</f>
        <v/>
      </c>
    </row>
    <row r="477" customFormat="false" ht="15" hidden="false" customHeight="false" outlineLevel="0" collapsed="false">
      <c r="A477" s="26" t="n">
        <f aca="false">'Lista de Preços'!$A466</f>
        <v>0</v>
      </c>
      <c r="B477" s="26" t="n">
        <f aca="false">'Lista de Preços'!$B466</f>
        <v>0</v>
      </c>
      <c r="C477" s="27" t="str">
        <f aca="false">IF(COUNTA('Lista de Preços'!$A466:$W466)&gt;0,IF((COUNTBLANK('Lista de Preços'!$A466)+COUNTBLANK('Lista de Preços'!$B466)+COUNTBLANK('Lista de Preços'!$C466)+COUNTBLANK('Lista de Preços'!$D466)+COUNTBLANK('Lista de Preços'!$E466)+COUNTBLANK('Lista de Preços'!$F466)+COUNTBLANK('Lista de Preços'!$L466)+COUNTBLANK('Lista de Preços'!$M466)+COUNTBLANK('Lista de Preços'!$P466)+COUNTBLANK('Lista de Preços'!$U466)+COUNTBLANK('Lista de Preços'!$V466))&gt;0,"ERRO","OK"),"")</f>
        <v/>
      </c>
      <c r="D477" s="27" t="str">
        <f aca="false">IF(COUNTA('Lista de Preços'!$A466:$W466)&gt;0,IF(OR(AND('Lista de Preços'!$L466&lt;&gt;"",NOT(ISNUMBER('Lista de Preços'!$L466))),AND('Lista de Preços'!$M466&lt;&gt;"",NOT(ISNUMBER('Lista de Preços'!$M466)))),"ERRO","OK"),"")</f>
        <v/>
      </c>
      <c r="E477" s="27" t="str">
        <f aca="false">IF(COUNTA('Lista de Preços'!$A466:$W466)&gt;0,IF(AND(ISNUMBER('Lista de Preços'!$L466),ISNUMBER('Lista de Preços'!$M466),'Lista de Preços'!$L466&gt;'Lista de Preços'!$M466),"ERRO","OK"),"")</f>
        <v/>
      </c>
      <c r="F477" s="27" t="str">
        <f aca="true">IF(COUNTA('Lista de Preços'!$A466:$W466)&gt;0,IF(AND('Lista de Preços'!$S466&lt;&gt;"",ISNUMBER('Lista de Preços'!$S466),'Lista de Preços'!$S466&lt;TODAY()),"ERRO","OK"),"")</f>
        <v/>
      </c>
      <c r="G477" s="27" t="str">
        <f aca="false">IF(COUNTA('Lista de Preços'!$A466:$W466)&gt;0,IF(AND('Lista de Preços'!$A466&lt;&gt;"",COUNTIF('Lista de Preços'!$A$4:$A$503,'Lista de Preços'!$A466)&gt;1),"ERRO","OK"),"")</f>
        <v/>
      </c>
      <c r="H477" s="27" t="str">
        <f aca="false">IF(COUNTA('Lista de Preços'!$A466:$W466)&gt;0,IF(AND('Lista de Preços'!$N466&lt;&gt;"",ISNUMBER('Lista de Preços'!$N466),OR('Lista de Preços'!$N466&lt;0,'Lista de Preços'!$N466&gt;0.5)),"ERRO","OK"),"")</f>
        <v/>
      </c>
      <c r="I477" s="27" t="str">
        <f aca="false">IF(COUNTA('Lista de Preços'!$A466:$W466)&gt;0,IF(OR($C477="ERRO",$D477="ERRO",$E477="ERRO",$F477="ERRO",$G477="ERRO",$H477="ERRO"),"FALHA","OK"),"")</f>
        <v/>
      </c>
    </row>
    <row r="478" customFormat="false" ht="15" hidden="false" customHeight="false" outlineLevel="0" collapsed="false">
      <c r="A478" s="26" t="n">
        <f aca="false">'Lista de Preços'!$A467</f>
        <v>0</v>
      </c>
      <c r="B478" s="26" t="n">
        <f aca="false">'Lista de Preços'!$B467</f>
        <v>0</v>
      </c>
      <c r="C478" s="27" t="str">
        <f aca="false">IF(COUNTA('Lista de Preços'!$A467:$W467)&gt;0,IF((COUNTBLANK('Lista de Preços'!$A467)+COUNTBLANK('Lista de Preços'!$B467)+COUNTBLANK('Lista de Preços'!$C467)+COUNTBLANK('Lista de Preços'!$D467)+COUNTBLANK('Lista de Preços'!$E467)+COUNTBLANK('Lista de Preços'!$F467)+COUNTBLANK('Lista de Preços'!$L467)+COUNTBLANK('Lista de Preços'!$M467)+COUNTBLANK('Lista de Preços'!$P467)+COUNTBLANK('Lista de Preços'!$U467)+COUNTBLANK('Lista de Preços'!$V467))&gt;0,"ERRO","OK"),"")</f>
        <v/>
      </c>
      <c r="D478" s="27" t="str">
        <f aca="false">IF(COUNTA('Lista de Preços'!$A467:$W467)&gt;0,IF(OR(AND('Lista de Preços'!$L467&lt;&gt;"",NOT(ISNUMBER('Lista de Preços'!$L467))),AND('Lista de Preços'!$M467&lt;&gt;"",NOT(ISNUMBER('Lista de Preços'!$M467)))),"ERRO","OK"),"")</f>
        <v/>
      </c>
      <c r="E478" s="27" t="str">
        <f aca="false">IF(COUNTA('Lista de Preços'!$A467:$W467)&gt;0,IF(AND(ISNUMBER('Lista de Preços'!$L467),ISNUMBER('Lista de Preços'!$M467),'Lista de Preços'!$L467&gt;'Lista de Preços'!$M467),"ERRO","OK"),"")</f>
        <v/>
      </c>
      <c r="F478" s="27" t="str">
        <f aca="true">IF(COUNTA('Lista de Preços'!$A467:$W467)&gt;0,IF(AND('Lista de Preços'!$S467&lt;&gt;"",ISNUMBER('Lista de Preços'!$S467),'Lista de Preços'!$S467&lt;TODAY()),"ERRO","OK"),"")</f>
        <v/>
      </c>
      <c r="G478" s="27" t="str">
        <f aca="false">IF(COUNTA('Lista de Preços'!$A467:$W467)&gt;0,IF(AND('Lista de Preços'!$A467&lt;&gt;"",COUNTIF('Lista de Preços'!$A$4:$A$503,'Lista de Preços'!$A467)&gt;1),"ERRO","OK"),"")</f>
        <v/>
      </c>
      <c r="H478" s="27" t="str">
        <f aca="false">IF(COUNTA('Lista de Preços'!$A467:$W467)&gt;0,IF(AND('Lista de Preços'!$N467&lt;&gt;"",ISNUMBER('Lista de Preços'!$N467),OR('Lista de Preços'!$N467&lt;0,'Lista de Preços'!$N467&gt;0.5)),"ERRO","OK"),"")</f>
        <v/>
      </c>
      <c r="I478" s="27" t="str">
        <f aca="false">IF(COUNTA('Lista de Preços'!$A467:$W467)&gt;0,IF(OR($C478="ERRO",$D478="ERRO",$E478="ERRO",$F478="ERRO",$G478="ERRO",$H478="ERRO"),"FALHA","OK"),"")</f>
        <v/>
      </c>
    </row>
    <row r="479" customFormat="false" ht="15" hidden="false" customHeight="false" outlineLevel="0" collapsed="false">
      <c r="A479" s="26" t="n">
        <f aca="false">'Lista de Preços'!$A468</f>
        <v>0</v>
      </c>
      <c r="B479" s="26" t="n">
        <f aca="false">'Lista de Preços'!$B468</f>
        <v>0</v>
      </c>
      <c r="C479" s="27" t="str">
        <f aca="false">IF(COUNTA('Lista de Preços'!$A468:$W468)&gt;0,IF((COUNTBLANK('Lista de Preços'!$A468)+COUNTBLANK('Lista de Preços'!$B468)+COUNTBLANK('Lista de Preços'!$C468)+COUNTBLANK('Lista de Preços'!$D468)+COUNTBLANK('Lista de Preços'!$E468)+COUNTBLANK('Lista de Preços'!$F468)+COUNTBLANK('Lista de Preços'!$L468)+COUNTBLANK('Lista de Preços'!$M468)+COUNTBLANK('Lista de Preços'!$P468)+COUNTBLANK('Lista de Preços'!$U468)+COUNTBLANK('Lista de Preços'!$V468))&gt;0,"ERRO","OK"),"")</f>
        <v/>
      </c>
      <c r="D479" s="27" t="str">
        <f aca="false">IF(COUNTA('Lista de Preços'!$A468:$W468)&gt;0,IF(OR(AND('Lista de Preços'!$L468&lt;&gt;"",NOT(ISNUMBER('Lista de Preços'!$L468))),AND('Lista de Preços'!$M468&lt;&gt;"",NOT(ISNUMBER('Lista de Preços'!$M468)))),"ERRO","OK"),"")</f>
        <v/>
      </c>
      <c r="E479" s="27" t="str">
        <f aca="false">IF(COUNTA('Lista de Preços'!$A468:$W468)&gt;0,IF(AND(ISNUMBER('Lista de Preços'!$L468),ISNUMBER('Lista de Preços'!$M468),'Lista de Preços'!$L468&gt;'Lista de Preços'!$M468),"ERRO","OK"),"")</f>
        <v/>
      </c>
      <c r="F479" s="27" t="str">
        <f aca="true">IF(COUNTA('Lista de Preços'!$A468:$W468)&gt;0,IF(AND('Lista de Preços'!$S468&lt;&gt;"",ISNUMBER('Lista de Preços'!$S468),'Lista de Preços'!$S468&lt;TODAY()),"ERRO","OK"),"")</f>
        <v/>
      </c>
      <c r="G479" s="27" t="str">
        <f aca="false">IF(COUNTA('Lista de Preços'!$A468:$W468)&gt;0,IF(AND('Lista de Preços'!$A468&lt;&gt;"",COUNTIF('Lista de Preços'!$A$4:$A$503,'Lista de Preços'!$A468)&gt;1),"ERRO","OK"),"")</f>
        <v/>
      </c>
      <c r="H479" s="27" t="str">
        <f aca="false">IF(COUNTA('Lista de Preços'!$A468:$W468)&gt;0,IF(AND('Lista de Preços'!$N468&lt;&gt;"",ISNUMBER('Lista de Preços'!$N468),OR('Lista de Preços'!$N468&lt;0,'Lista de Preços'!$N468&gt;0.5)),"ERRO","OK"),"")</f>
        <v/>
      </c>
      <c r="I479" s="27" t="str">
        <f aca="false">IF(COUNTA('Lista de Preços'!$A468:$W468)&gt;0,IF(OR($C479="ERRO",$D479="ERRO",$E479="ERRO",$F479="ERRO",$G479="ERRO",$H479="ERRO"),"FALHA","OK"),"")</f>
        <v/>
      </c>
    </row>
    <row r="480" customFormat="false" ht="15" hidden="false" customHeight="false" outlineLevel="0" collapsed="false">
      <c r="A480" s="26" t="n">
        <f aca="false">'Lista de Preços'!$A469</f>
        <v>0</v>
      </c>
      <c r="B480" s="26" t="n">
        <f aca="false">'Lista de Preços'!$B469</f>
        <v>0</v>
      </c>
      <c r="C480" s="27" t="str">
        <f aca="false">IF(COUNTA('Lista de Preços'!$A469:$W469)&gt;0,IF((COUNTBLANK('Lista de Preços'!$A469)+COUNTBLANK('Lista de Preços'!$B469)+COUNTBLANK('Lista de Preços'!$C469)+COUNTBLANK('Lista de Preços'!$D469)+COUNTBLANK('Lista de Preços'!$E469)+COUNTBLANK('Lista de Preços'!$F469)+COUNTBLANK('Lista de Preços'!$L469)+COUNTBLANK('Lista de Preços'!$M469)+COUNTBLANK('Lista de Preços'!$P469)+COUNTBLANK('Lista de Preços'!$U469)+COUNTBLANK('Lista de Preços'!$V469))&gt;0,"ERRO","OK"),"")</f>
        <v/>
      </c>
      <c r="D480" s="27" t="str">
        <f aca="false">IF(COUNTA('Lista de Preços'!$A469:$W469)&gt;0,IF(OR(AND('Lista de Preços'!$L469&lt;&gt;"",NOT(ISNUMBER('Lista de Preços'!$L469))),AND('Lista de Preços'!$M469&lt;&gt;"",NOT(ISNUMBER('Lista de Preços'!$M469)))),"ERRO","OK"),"")</f>
        <v/>
      </c>
      <c r="E480" s="27" t="str">
        <f aca="false">IF(COUNTA('Lista de Preços'!$A469:$W469)&gt;0,IF(AND(ISNUMBER('Lista de Preços'!$L469),ISNUMBER('Lista de Preços'!$M469),'Lista de Preços'!$L469&gt;'Lista de Preços'!$M469),"ERRO","OK"),"")</f>
        <v/>
      </c>
      <c r="F480" s="27" t="str">
        <f aca="true">IF(COUNTA('Lista de Preços'!$A469:$W469)&gt;0,IF(AND('Lista de Preços'!$S469&lt;&gt;"",ISNUMBER('Lista de Preços'!$S469),'Lista de Preços'!$S469&lt;TODAY()),"ERRO","OK"),"")</f>
        <v/>
      </c>
      <c r="G480" s="27" t="str">
        <f aca="false">IF(COUNTA('Lista de Preços'!$A469:$W469)&gt;0,IF(AND('Lista de Preços'!$A469&lt;&gt;"",COUNTIF('Lista de Preços'!$A$4:$A$503,'Lista de Preços'!$A469)&gt;1),"ERRO","OK"),"")</f>
        <v/>
      </c>
      <c r="H480" s="27" t="str">
        <f aca="false">IF(COUNTA('Lista de Preços'!$A469:$W469)&gt;0,IF(AND('Lista de Preços'!$N469&lt;&gt;"",ISNUMBER('Lista de Preços'!$N469),OR('Lista de Preços'!$N469&lt;0,'Lista de Preços'!$N469&gt;0.5)),"ERRO","OK"),"")</f>
        <v/>
      </c>
      <c r="I480" s="27" t="str">
        <f aca="false">IF(COUNTA('Lista de Preços'!$A469:$W469)&gt;0,IF(OR($C480="ERRO",$D480="ERRO",$E480="ERRO",$F480="ERRO",$G480="ERRO",$H480="ERRO"),"FALHA","OK"),"")</f>
        <v/>
      </c>
    </row>
    <row r="481" customFormat="false" ht="15" hidden="false" customHeight="false" outlineLevel="0" collapsed="false">
      <c r="A481" s="26" t="n">
        <f aca="false">'Lista de Preços'!$A470</f>
        <v>0</v>
      </c>
      <c r="B481" s="26" t="n">
        <f aca="false">'Lista de Preços'!$B470</f>
        <v>0</v>
      </c>
      <c r="C481" s="27" t="str">
        <f aca="false">IF(COUNTA('Lista de Preços'!$A470:$W470)&gt;0,IF((COUNTBLANK('Lista de Preços'!$A470)+COUNTBLANK('Lista de Preços'!$B470)+COUNTBLANK('Lista de Preços'!$C470)+COUNTBLANK('Lista de Preços'!$D470)+COUNTBLANK('Lista de Preços'!$E470)+COUNTBLANK('Lista de Preços'!$F470)+COUNTBLANK('Lista de Preços'!$L470)+COUNTBLANK('Lista de Preços'!$M470)+COUNTBLANK('Lista de Preços'!$P470)+COUNTBLANK('Lista de Preços'!$U470)+COUNTBLANK('Lista de Preços'!$V470))&gt;0,"ERRO","OK"),"")</f>
        <v/>
      </c>
      <c r="D481" s="27" t="str">
        <f aca="false">IF(COUNTA('Lista de Preços'!$A470:$W470)&gt;0,IF(OR(AND('Lista de Preços'!$L470&lt;&gt;"",NOT(ISNUMBER('Lista de Preços'!$L470))),AND('Lista de Preços'!$M470&lt;&gt;"",NOT(ISNUMBER('Lista de Preços'!$M470)))),"ERRO","OK"),"")</f>
        <v/>
      </c>
      <c r="E481" s="27" t="str">
        <f aca="false">IF(COUNTA('Lista de Preços'!$A470:$W470)&gt;0,IF(AND(ISNUMBER('Lista de Preços'!$L470),ISNUMBER('Lista de Preços'!$M470),'Lista de Preços'!$L470&gt;'Lista de Preços'!$M470),"ERRO","OK"),"")</f>
        <v/>
      </c>
      <c r="F481" s="27" t="str">
        <f aca="true">IF(COUNTA('Lista de Preços'!$A470:$W470)&gt;0,IF(AND('Lista de Preços'!$S470&lt;&gt;"",ISNUMBER('Lista de Preços'!$S470),'Lista de Preços'!$S470&lt;TODAY()),"ERRO","OK"),"")</f>
        <v/>
      </c>
      <c r="G481" s="27" t="str">
        <f aca="false">IF(COUNTA('Lista de Preços'!$A470:$W470)&gt;0,IF(AND('Lista de Preços'!$A470&lt;&gt;"",COUNTIF('Lista de Preços'!$A$4:$A$503,'Lista de Preços'!$A470)&gt;1),"ERRO","OK"),"")</f>
        <v/>
      </c>
      <c r="H481" s="27" t="str">
        <f aca="false">IF(COUNTA('Lista de Preços'!$A470:$W470)&gt;0,IF(AND('Lista de Preços'!$N470&lt;&gt;"",ISNUMBER('Lista de Preços'!$N470),OR('Lista de Preços'!$N470&lt;0,'Lista de Preços'!$N470&gt;0.5)),"ERRO","OK"),"")</f>
        <v/>
      </c>
      <c r="I481" s="27" t="str">
        <f aca="false">IF(COUNTA('Lista de Preços'!$A470:$W470)&gt;0,IF(OR($C481="ERRO",$D481="ERRO",$E481="ERRO",$F481="ERRO",$G481="ERRO",$H481="ERRO"),"FALHA","OK"),"")</f>
        <v/>
      </c>
    </row>
    <row r="482" customFormat="false" ht="15" hidden="false" customHeight="false" outlineLevel="0" collapsed="false">
      <c r="A482" s="26" t="n">
        <f aca="false">'Lista de Preços'!$A471</f>
        <v>0</v>
      </c>
      <c r="B482" s="26" t="n">
        <f aca="false">'Lista de Preços'!$B471</f>
        <v>0</v>
      </c>
      <c r="C482" s="27" t="str">
        <f aca="false">IF(COUNTA('Lista de Preços'!$A471:$W471)&gt;0,IF((COUNTBLANK('Lista de Preços'!$A471)+COUNTBLANK('Lista de Preços'!$B471)+COUNTBLANK('Lista de Preços'!$C471)+COUNTBLANK('Lista de Preços'!$D471)+COUNTBLANK('Lista de Preços'!$E471)+COUNTBLANK('Lista de Preços'!$F471)+COUNTBLANK('Lista de Preços'!$L471)+COUNTBLANK('Lista de Preços'!$M471)+COUNTBLANK('Lista de Preços'!$P471)+COUNTBLANK('Lista de Preços'!$U471)+COUNTBLANK('Lista de Preços'!$V471))&gt;0,"ERRO","OK"),"")</f>
        <v/>
      </c>
      <c r="D482" s="27" t="str">
        <f aca="false">IF(COUNTA('Lista de Preços'!$A471:$W471)&gt;0,IF(OR(AND('Lista de Preços'!$L471&lt;&gt;"",NOT(ISNUMBER('Lista de Preços'!$L471))),AND('Lista de Preços'!$M471&lt;&gt;"",NOT(ISNUMBER('Lista de Preços'!$M471)))),"ERRO","OK"),"")</f>
        <v/>
      </c>
      <c r="E482" s="27" t="str">
        <f aca="false">IF(COUNTA('Lista de Preços'!$A471:$W471)&gt;0,IF(AND(ISNUMBER('Lista de Preços'!$L471),ISNUMBER('Lista de Preços'!$M471),'Lista de Preços'!$L471&gt;'Lista de Preços'!$M471),"ERRO","OK"),"")</f>
        <v/>
      </c>
      <c r="F482" s="27" t="str">
        <f aca="true">IF(COUNTA('Lista de Preços'!$A471:$W471)&gt;0,IF(AND('Lista de Preços'!$S471&lt;&gt;"",ISNUMBER('Lista de Preços'!$S471),'Lista de Preços'!$S471&lt;TODAY()),"ERRO","OK"),"")</f>
        <v/>
      </c>
      <c r="G482" s="27" t="str">
        <f aca="false">IF(COUNTA('Lista de Preços'!$A471:$W471)&gt;0,IF(AND('Lista de Preços'!$A471&lt;&gt;"",COUNTIF('Lista de Preços'!$A$4:$A$503,'Lista de Preços'!$A471)&gt;1),"ERRO","OK"),"")</f>
        <v/>
      </c>
      <c r="H482" s="27" t="str">
        <f aca="false">IF(COUNTA('Lista de Preços'!$A471:$W471)&gt;0,IF(AND('Lista de Preços'!$N471&lt;&gt;"",ISNUMBER('Lista de Preços'!$N471),OR('Lista de Preços'!$N471&lt;0,'Lista de Preços'!$N471&gt;0.5)),"ERRO","OK"),"")</f>
        <v/>
      </c>
      <c r="I482" s="27" t="str">
        <f aca="false">IF(COUNTA('Lista de Preços'!$A471:$W471)&gt;0,IF(OR($C482="ERRO",$D482="ERRO",$E482="ERRO",$F482="ERRO",$G482="ERRO",$H482="ERRO"),"FALHA","OK"),"")</f>
        <v/>
      </c>
    </row>
    <row r="483" customFormat="false" ht="15" hidden="false" customHeight="false" outlineLevel="0" collapsed="false">
      <c r="A483" s="26" t="n">
        <f aca="false">'Lista de Preços'!$A472</f>
        <v>0</v>
      </c>
      <c r="B483" s="26" t="n">
        <f aca="false">'Lista de Preços'!$B472</f>
        <v>0</v>
      </c>
      <c r="C483" s="27" t="str">
        <f aca="false">IF(COUNTA('Lista de Preços'!$A472:$W472)&gt;0,IF((COUNTBLANK('Lista de Preços'!$A472)+COUNTBLANK('Lista de Preços'!$B472)+COUNTBLANK('Lista de Preços'!$C472)+COUNTBLANK('Lista de Preços'!$D472)+COUNTBLANK('Lista de Preços'!$E472)+COUNTBLANK('Lista de Preços'!$F472)+COUNTBLANK('Lista de Preços'!$L472)+COUNTBLANK('Lista de Preços'!$M472)+COUNTBLANK('Lista de Preços'!$P472)+COUNTBLANK('Lista de Preços'!$U472)+COUNTBLANK('Lista de Preços'!$V472))&gt;0,"ERRO","OK"),"")</f>
        <v/>
      </c>
      <c r="D483" s="27" t="str">
        <f aca="false">IF(COUNTA('Lista de Preços'!$A472:$W472)&gt;0,IF(OR(AND('Lista de Preços'!$L472&lt;&gt;"",NOT(ISNUMBER('Lista de Preços'!$L472))),AND('Lista de Preços'!$M472&lt;&gt;"",NOT(ISNUMBER('Lista de Preços'!$M472)))),"ERRO","OK"),"")</f>
        <v/>
      </c>
      <c r="E483" s="27" t="str">
        <f aca="false">IF(COUNTA('Lista de Preços'!$A472:$W472)&gt;0,IF(AND(ISNUMBER('Lista de Preços'!$L472),ISNUMBER('Lista de Preços'!$M472),'Lista de Preços'!$L472&gt;'Lista de Preços'!$M472),"ERRO","OK"),"")</f>
        <v/>
      </c>
      <c r="F483" s="27" t="str">
        <f aca="true">IF(COUNTA('Lista de Preços'!$A472:$W472)&gt;0,IF(AND('Lista de Preços'!$S472&lt;&gt;"",ISNUMBER('Lista de Preços'!$S472),'Lista de Preços'!$S472&lt;TODAY()),"ERRO","OK"),"")</f>
        <v/>
      </c>
      <c r="G483" s="27" t="str">
        <f aca="false">IF(COUNTA('Lista de Preços'!$A472:$W472)&gt;0,IF(AND('Lista de Preços'!$A472&lt;&gt;"",COUNTIF('Lista de Preços'!$A$4:$A$503,'Lista de Preços'!$A472)&gt;1),"ERRO","OK"),"")</f>
        <v/>
      </c>
      <c r="H483" s="27" t="str">
        <f aca="false">IF(COUNTA('Lista de Preços'!$A472:$W472)&gt;0,IF(AND('Lista de Preços'!$N472&lt;&gt;"",ISNUMBER('Lista de Preços'!$N472),OR('Lista de Preços'!$N472&lt;0,'Lista de Preços'!$N472&gt;0.5)),"ERRO","OK"),"")</f>
        <v/>
      </c>
      <c r="I483" s="27" t="str">
        <f aca="false">IF(COUNTA('Lista de Preços'!$A472:$W472)&gt;0,IF(OR($C483="ERRO",$D483="ERRO",$E483="ERRO",$F483="ERRO",$G483="ERRO",$H483="ERRO"),"FALHA","OK"),"")</f>
        <v/>
      </c>
    </row>
    <row r="484" customFormat="false" ht="15" hidden="false" customHeight="false" outlineLevel="0" collapsed="false">
      <c r="A484" s="26" t="n">
        <f aca="false">'Lista de Preços'!$A473</f>
        <v>0</v>
      </c>
      <c r="B484" s="26" t="n">
        <f aca="false">'Lista de Preços'!$B473</f>
        <v>0</v>
      </c>
      <c r="C484" s="27" t="str">
        <f aca="false">IF(COUNTA('Lista de Preços'!$A473:$W473)&gt;0,IF((COUNTBLANK('Lista de Preços'!$A473)+COUNTBLANK('Lista de Preços'!$B473)+COUNTBLANK('Lista de Preços'!$C473)+COUNTBLANK('Lista de Preços'!$D473)+COUNTBLANK('Lista de Preços'!$E473)+COUNTBLANK('Lista de Preços'!$F473)+COUNTBLANK('Lista de Preços'!$L473)+COUNTBLANK('Lista de Preços'!$M473)+COUNTBLANK('Lista de Preços'!$P473)+COUNTBLANK('Lista de Preços'!$U473)+COUNTBLANK('Lista de Preços'!$V473))&gt;0,"ERRO","OK"),"")</f>
        <v/>
      </c>
      <c r="D484" s="27" t="str">
        <f aca="false">IF(COUNTA('Lista de Preços'!$A473:$W473)&gt;0,IF(OR(AND('Lista de Preços'!$L473&lt;&gt;"",NOT(ISNUMBER('Lista de Preços'!$L473))),AND('Lista de Preços'!$M473&lt;&gt;"",NOT(ISNUMBER('Lista de Preços'!$M473)))),"ERRO","OK"),"")</f>
        <v/>
      </c>
      <c r="E484" s="27" t="str">
        <f aca="false">IF(COUNTA('Lista de Preços'!$A473:$W473)&gt;0,IF(AND(ISNUMBER('Lista de Preços'!$L473),ISNUMBER('Lista de Preços'!$M473),'Lista de Preços'!$L473&gt;'Lista de Preços'!$M473),"ERRO","OK"),"")</f>
        <v/>
      </c>
      <c r="F484" s="27" t="str">
        <f aca="true">IF(COUNTA('Lista de Preços'!$A473:$W473)&gt;0,IF(AND('Lista de Preços'!$S473&lt;&gt;"",ISNUMBER('Lista de Preços'!$S473),'Lista de Preços'!$S473&lt;TODAY()),"ERRO","OK"),"")</f>
        <v/>
      </c>
      <c r="G484" s="27" t="str">
        <f aca="false">IF(COUNTA('Lista de Preços'!$A473:$W473)&gt;0,IF(AND('Lista de Preços'!$A473&lt;&gt;"",COUNTIF('Lista de Preços'!$A$4:$A$503,'Lista de Preços'!$A473)&gt;1),"ERRO","OK"),"")</f>
        <v/>
      </c>
      <c r="H484" s="27" t="str">
        <f aca="false">IF(COUNTA('Lista de Preços'!$A473:$W473)&gt;0,IF(AND('Lista de Preços'!$N473&lt;&gt;"",ISNUMBER('Lista de Preços'!$N473),OR('Lista de Preços'!$N473&lt;0,'Lista de Preços'!$N473&gt;0.5)),"ERRO","OK"),"")</f>
        <v/>
      </c>
      <c r="I484" s="27" t="str">
        <f aca="false">IF(COUNTA('Lista de Preços'!$A473:$W473)&gt;0,IF(OR($C484="ERRO",$D484="ERRO",$E484="ERRO",$F484="ERRO",$G484="ERRO",$H484="ERRO"),"FALHA","OK"),"")</f>
        <v/>
      </c>
    </row>
    <row r="485" customFormat="false" ht="15" hidden="false" customHeight="false" outlineLevel="0" collapsed="false">
      <c r="A485" s="26" t="n">
        <f aca="false">'Lista de Preços'!$A474</f>
        <v>0</v>
      </c>
      <c r="B485" s="26" t="n">
        <f aca="false">'Lista de Preços'!$B474</f>
        <v>0</v>
      </c>
      <c r="C485" s="27" t="str">
        <f aca="false">IF(COUNTA('Lista de Preços'!$A474:$W474)&gt;0,IF((COUNTBLANK('Lista de Preços'!$A474)+COUNTBLANK('Lista de Preços'!$B474)+COUNTBLANK('Lista de Preços'!$C474)+COUNTBLANK('Lista de Preços'!$D474)+COUNTBLANK('Lista de Preços'!$E474)+COUNTBLANK('Lista de Preços'!$F474)+COUNTBLANK('Lista de Preços'!$L474)+COUNTBLANK('Lista de Preços'!$M474)+COUNTBLANK('Lista de Preços'!$P474)+COUNTBLANK('Lista de Preços'!$U474)+COUNTBLANK('Lista de Preços'!$V474))&gt;0,"ERRO","OK"),"")</f>
        <v/>
      </c>
      <c r="D485" s="27" t="str">
        <f aca="false">IF(COUNTA('Lista de Preços'!$A474:$W474)&gt;0,IF(OR(AND('Lista de Preços'!$L474&lt;&gt;"",NOT(ISNUMBER('Lista de Preços'!$L474))),AND('Lista de Preços'!$M474&lt;&gt;"",NOT(ISNUMBER('Lista de Preços'!$M474)))),"ERRO","OK"),"")</f>
        <v/>
      </c>
      <c r="E485" s="27" t="str">
        <f aca="false">IF(COUNTA('Lista de Preços'!$A474:$W474)&gt;0,IF(AND(ISNUMBER('Lista de Preços'!$L474),ISNUMBER('Lista de Preços'!$M474),'Lista de Preços'!$L474&gt;'Lista de Preços'!$M474),"ERRO","OK"),"")</f>
        <v/>
      </c>
      <c r="F485" s="27" t="str">
        <f aca="true">IF(COUNTA('Lista de Preços'!$A474:$W474)&gt;0,IF(AND('Lista de Preços'!$S474&lt;&gt;"",ISNUMBER('Lista de Preços'!$S474),'Lista de Preços'!$S474&lt;TODAY()),"ERRO","OK"),"")</f>
        <v/>
      </c>
      <c r="G485" s="27" t="str">
        <f aca="false">IF(COUNTA('Lista de Preços'!$A474:$W474)&gt;0,IF(AND('Lista de Preços'!$A474&lt;&gt;"",COUNTIF('Lista de Preços'!$A$4:$A$503,'Lista de Preços'!$A474)&gt;1),"ERRO","OK"),"")</f>
        <v/>
      </c>
      <c r="H485" s="27" t="str">
        <f aca="false">IF(COUNTA('Lista de Preços'!$A474:$W474)&gt;0,IF(AND('Lista de Preços'!$N474&lt;&gt;"",ISNUMBER('Lista de Preços'!$N474),OR('Lista de Preços'!$N474&lt;0,'Lista de Preços'!$N474&gt;0.5)),"ERRO","OK"),"")</f>
        <v/>
      </c>
      <c r="I485" s="27" t="str">
        <f aca="false">IF(COUNTA('Lista de Preços'!$A474:$W474)&gt;0,IF(OR($C485="ERRO",$D485="ERRO",$E485="ERRO",$F485="ERRO",$G485="ERRO",$H485="ERRO"),"FALHA","OK"),"")</f>
        <v/>
      </c>
    </row>
    <row r="486" customFormat="false" ht="15" hidden="false" customHeight="false" outlineLevel="0" collapsed="false">
      <c r="A486" s="26" t="n">
        <f aca="false">'Lista de Preços'!$A475</f>
        <v>0</v>
      </c>
      <c r="B486" s="26" t="n">
        <f aca="false">'Lista de Preços'!$B475</f>
        <v>0</v>
      </c>
      <c r="C486" s="27" t="str">
        <f aca="false">IF(COUNTA('Lista de Preços'!$A475:$W475)&gt;0,IF((COUNTBLANK('Lista de Preços'!$A475)+COUNTBLANK('Lista de Preços'!$B475)+COUNTBLANK('Lista de Preços'!$C475)+COUNTBLANK('Lista de Preços'!$D475)+COUNTBLANK('Lista de Preços'!$E475)+COUNTBLANK('Lista de Preços'!$F475)+COUNTBLANK('Lista de Preços'!$L475)+COUNTBLANK('Lista de Preços'!$M475)+COUNTBLANK('Lista de Preços'!$P475)+COUNTBLANK('Lista de Preços'!$U475)+COUNTBLANK('Lista de Preços'!$V475))&gt;0,"ERRO","OK"),"")</f>
        <v/>
      </c>
      <c r="D486" s="27" t="str">
        <f aca="false">IF(COUNTA('Lista de Preços'!$A475:$W475)&gt;0,IF(OR(AND('Lista de Preços'!$L475&lt;&gt;"",NOT(ISNUMBER('Lista de Preços'!$L475))),AND('Lista de Preços'!$M475&lt;&gt;"",NOT(ISNUMBER('Lista de Preços'!$M475)))),"ERRO","OK"),"")</f>
        <v/>
      </c>
      <c r="E486" s="27" t="str">
        <f aca="false">IF(COUNTA('Lista de Preços'!$A475:$W475)&gt;0,IF(AND(ISNUMBER('Lista de Preços'!$L475),ISNUMBER('Lista de Preços'!$M475),'Lista de Preços'!$L475&gt;'Lista de Preços'!$M475),"ERRO","OK"),"")</f>
        <v/>
      </c>
      <c r="F486" s="27" t="str">
        <f aca="true">IF(COUNTA('Lista de Preços'!$A475:$W475)&gt;0,IF(AND('Lista de Preços'!$S475&lt;&gt;"",ISNUMBER('Lista de Preços'!$S475),'Lista de Preços'!$S475&lt;TODAY()),"ERRO","OK"),"")</f>
        <v/>
      </c>
      <c r="G486" s="27" t="str">
        <f aca="false">IF(COUNTA('Lista de Preços'!$A475:$W475)&gt;0,IF(AND('Lista de Preços'!$A475&lt;&gt;"",COUNTIF('Lista de Preços'!$A$4:$A$503,'Lista de Preços'!$A475)&gt;1),"ERRO","OK"),"")</f>
        <v/>
      </c>
      <c r="H486" s="27" t="str">
        <f aca="false">IF(COUNTA('Lista de Preços'!$A475:$W475)&gt;0,IF(AND('Lista de Preços'!$N475&lt;&gt;"",ISNUMBER('Lista de Preços'!$N475),OR('Lista de Preços'!$N475&lt;0,'Lista de Preços'!$N475&gt;0.5)),"ERRO","OK"),"")</f>
        <v/>
      </c>
      <c r="I486" s="27" t="str">
        <f aca="false">IF(COUNTA('Lista de Preços'!$A475:$W475)&gt;0,IF(OR($C486="ERRO",$D486="ERRO",$E486="ERRO",$F486="ERRO",$G486="ERRO",$H486="ERRO"),"FALHA","OK"),"")</f>
        <v/>
      </c>
    </row>
    <row r="487" customFormat="false" ht="15" hidden="false" customHeight="false" outlineLevel="0" collapsed="false">
      <c r="A487" s="26" t="n">
        <f aca="false">'Lista de Preços'!$A476</f>
        <v>0</v>
      </c>
      <c r="B487" s="26" t="n">
        <f aca="false">'Lista de Preços'!$B476</f>
        <v>0</v>
      </c>
      <c r="C487" s="27" t="str">
        <f aca="false">IF(COUNTA('Lista de Preços'!$A476:$W476)&gt;0,IF((COUNTBLANK('Lista de Preços'!$A476)+COUNTBLANK('Lista de Preços'!$B476)+COUNTBLANK('Lista de Preços'!$C476)+COUNTBLANK('Lista de Preços'!$D476)+COUNTBLANK('Lista de Preços'!$E476)+COUNTBLANK('Lista de Preços'!$F476)+COUNTBLANK('Lista de Preços'!$L476)+COUNTBLANK('Lista de Preços'!$M476)+COUNTBLANK('Lista de Preços'!$P476)+COUNTBLANK('Lista de Preços'!$U476)+COUNTBLANK('Lista de Preços'!$V476))&gt;0,"ERRO","OK"),"")</f>
        <v/>
      </c>
      <c r="D487" s="27" t="str">
        <f aca="false">IF(COUNTA('Lista de Preços'!$A476:$W476)&gt;0,IF(OR(AND('Lista de Preços'!$L476&lt;&gt;"",NOT(ISNUMBER('Lista de Preços'!$L476))),AND('Lista de Preços'!$M476&lt;&gt;"",NOT(ISNUMBER('Lista de Preços'!$M476)))),"ERRO","OK"),"")</f>
        <v/>
      </c>
      <c r="E487" s="27" t="str">
        <f aca="false">IF(COUNTA('Lista de Preços'!$A476:$W476)&gt;0,IF(AND(ISNUMBER('Lista de Preços'!$L476),ISNUMBER('Lista de Preços'!$M476),'Lista de Preços'!$L476&gt;'Lista de Preços'!$M476),"ERRO","OK"),"")</f>
        <v/>
      </c>
      <c r="F487" s="27" t="str">
        <f aca="true">IF(COUNTA('Lista de Preços'!$A476:$W476)&gt;0,IF(AND('Lista de Preços'!$S476&lt;&gt;"",ISNUMBER('Lista de Preços'!$S476),'Lista de Preços'!$S476&lt;TODAY()),"ERRO","OK"),"")</f>
        <v/>
      </c>
      <c r="G487" s="27" t="str">
        <f aca="false">IF(COUNTA('Lista de Preços'!$A476:$W476)&gt;0,IF(AND('Lista de Preços'!$A476&lt;&gt;"",COUNTIF('Lista de Preços'!$A$4:$A$503,'Lista de Preços'!$A476)&gt;1),"ERRO","OK"),"")</f>
        <v/>
      </c>
      <c r="H487" s="27" t="str">
        <f aca="false">IF(COUNTA('Lista de Preços'!$A476:$W476)&gt;0,IF(AND('Lista de Preços'!$N476&lt;&gt;"",ISNUMBER('Lista de Preços'!$N476),OR('Lista de Preços'!$N476&lt;0,'Lista de Preços'!$N476&gt;0.5)),"ERRO","OK"),"")</f>
        <v/>
      </c>
      <c r="I487" s="27" t="str">
        <f aca="false">IF(COUNTA('Lista de Preços'!$A476:$W476)&gt;0,IF(OR($C487="ERRO",$D487="ERRO",$E487="ERRO",$F487="ERRO",$G487="ERRO",$H487="ERRO"),"FALHA","OK"),"")</f>
        <v/>
      </c>
    </row>
    <row r="488" customFormat="false" ht="15" hidden="false" customHeight="false" outlineLevel="0" collapsed="false">
      <c r="A488" s="26" t="n">
        <f aca="false">'Lista de Preços'!$A477</f>
        <v>0</v>
      </c>
      <c r="B488" s="26" t="n">
        <f aca="false">'Lista de Preços'!$B477</f>
        <v>0</v>
      </c>
      <c r="C488" s="27" t="str">
        <f aca="false">IF(COUNTA('Lista de Preços'!$A477:$W477)&gt;0,IF((COUNTBLANK('Lista de Preços'!$A477)+COUNTBLANK('Lista de Preços'!$B477)+COUNTBLANK('Lista de Preços'!$C477)+COUNTBLANK('Lista de Preços'!$D477)+COUNTBLANK('Lista de Preços'!$E477)+COUNTBLANK('Lista de Preços'!$F477)+COUNTBLANK('Lista de Preços'!$L477)+COUNTBLANK('Lista de Preços'!$M477)+COUNTBLANK('Lista de Preços'!$P477)+COUNTBLANK('Lista de Preços'!$U477)+COUNTBLANK('Lista de Preços'!$V477))&gt;0,"ERRO","OK"),"")</f>
        <v/>
      </c>
      <c r="D488" s="27" t="str">
        <f aca="false">IF(COUNTA('Lista de Preços'!$A477:$W477)&gt;0,IF(OR(AND('Lista de Preços'!$L477&lt;&gt;"",NOT(ISNUMBER('Lista de Preços'!$L477))),AND('Lista de Preços'!$M477&lt;&gt;"",NOT(ISNUMBER('Lista de Preços'!$M477)))),"ERRO","OK"),"")</f>
        <v/>
      </c>
      <c r="E488" s="27" t="str">
        <f aca="false">IF(COUNTA('Lista de Preços'!$A477:$W477)&gt;0,IF(AND(ISNUMBER('Lista de Preços'!$L477),ISNUMBER('Lista de Preços'!$M477),'Lista de Preços'!$L477&gt;'Lista de Preços'!$M477),"ERRO","OK"),"")</f>
        <v/>
      </c>
      <c r="F488" s="27" t="str">
        <f aca="true">IF(COUNTA('Lista de Preços'!$A477:$W477)&gt;0,IF(AND('Lista de Preços'!$S477&lt;&gt;"",ISNUMBER('Lista de Preços'!$S477),'Lista de Preços'!$S477&lt;TODAY()),"ERRO","OK"),"")</f>
        <v/>
      </c>
      <c r="G488" s="27" t="str">
        <f aca="false">IF(COUNTA('Lista de Preços'!$A477:$W477)&gt;0,IF(AND('Lista de Preços'!$A477&lt;&gt;"",COUNTIF('Lista de Preços'!$A$4:$A$503,'Lista de Preços'!$A477)&gt;1),"ERRO","OK"),"")</f>
        <v/>
      </c>
      <c r="H488" s="27" t="str">
        <f aca="false">IF(COUNTA('Lista de Preços'!$A477:$W477)&gt;0,IF(AND('Lista de Preços'!$N477&lt;&gt;"",ISNUMBER('Lista de Preços'!$N477),OR('Lista de Preços'!$N477&lt;0,'Lista de Preços'!$N477&gt;0.5)),"ERRO","OK"),"")</f>
        <v/>
      </c>
      <c r="I488" s="27" t="str">
        <f aca="false">IF(COUNTA('Lista de Preços'!$A477:$W477)&gt;0,IF(OR($C488="ERRO",$D488="ERRO",$E488="ERRO",$F488="ERRO",$G488="ERRO",$H488="ERRO"),"FALHA","OK"),"")</f>
        <v/>
      </c>
    </row>
    <row r="489" customFormat="false" ht="15" hidden="false" customHeight="false" outlineLevel="0" collapsed="false">
      <c r="A489" s="26" t="n">
        <f aca="false">'Lista de Preços'!$A478</f>
        <v>0</v>
      </c>
      <c r="B489" s="26" t="n">
        <f aca="false">'Lista de Preços'!$B478</f>
        <v>0</v>
      </c>
      <c r="C489" s="27" t="str">
        <f aca="false">IF(COUNTA('Lista de Preços'!$A478:$W478)&gt;0,IF((COUNTBLANK('Lista de Preços'!$A478)+COUNTBLANK('Lista de Preços'!$B478)+COUNTBLANK('Lista de Preços'!$C478)+COUNTBLANK('Lista de Preços'!$D478)+COUNTBLANK('Lista de Preços'!$E478)+COUNTBLANK('Lista de Preços'!$F478)+COUNTBLANK('Lista de Preços'!$L478)+COUNTBLANK('Lista de Preços'!$M478)+COUNTBLANK('Lista de Preços'!$P478)+COUNTBLANK('Lista de Preços'!$U478)+COUNTBLANK('Lista de Preços'!$V478))&gt;0,"ERRO","OK"),"")</f>
        <v/>
      </c>
      <c r="D489" s="27" t="str">
        <f aca="false">IF(COUNTA('Lista de Preços'!$A478:$W478)&gt;0,IF(OR(AND('Lista de Preços'!$L478&lt;&gt;"",NOT(ISNUMBER('Lista de Preços'!$L478))),AND('Lista de Preços'!$M478&lt;&gt;"",NOT(ISNUMBER('Lista de Preços'!$M478)))),"ERRO","OK"),"")</f>
        <v/>
      </c>
      <c r="E489" s="27" t="str">
        <f aca="false">IF(COUNTA('Lista de Preços'!$A478:$W478)&gt;0,IF(AND(ISNUMBER('Lista de Preços'!$L478),ISNUMBER('Lista de Preços'!$M478),'Lista de Preços'!$L478&gt;'Lista de Preços'!$M478),"ERRO","OK"),"")</f>
        <v/>
      </c>
      <c r="F489" s="27" t="str">
        <f aca="true">IF(COUNTA('Lista de Preços'!$A478:$W478)&gt;0,IF(AND('Lista de Preços'!$S478&lt;&gt;"",ISNUMBER('Lista de Preços'!$S478),'Lista de Preços'!$S478&lt;TODAY()),"ERRO","OK"),"")</f>
        <v/>
      </c>
      <c r="G489" s="27" t="str">
        <f aca="false">IF(COUNTA('Lista de Preços'!$A478:$W478)&gt;0,IF(AND('Lista de Preços'!$A478&lt;&gt;"",COUNTIF('Lista de Preços'!$A$4:$A$503,'Lista de Preços'!$A478)&gt;1),"ERRO","OK"),"")</f>
        <v/>
      </c>
      <c r="H489" s="27" t="str">
        <f aca="false">IF(COUNTA('Lista de Preços'!$A478:$W478)&gt;0,IF(AND('Lista de Preços'!$N478&lt;&gt;"",ISNUMBER('Lista de Preços'!$N478),OR('Lista de Preços'!$N478&lt;0,'Lista de Preços'!$N478&gt;0.5)),"ERRO","OK"),"")</f>
        <v/>
      </c>
      <c r="I489" s="27" t="str">
        <f aca="false">IF(COUNTA('Lista de Preços'!$A478:$W478)&gt;0,IF(OR($C489="ERRO",$D489="ERRO",$E489="ERRO",$F489="ERRO",$G489="ERRO",$H489="ERRO"),"FALHA","OK"),"")</f>
        <v/>
      </c>
    </row>
    <row r="490" customFormat="false" ht="15" hidden="false" customHeight="false" outlineLevel="0" collapsed="false">
      <c r="A490" s="26" t="n">
        <f aca="false">'Lista de Preços'!$A479</f>
        <v>0</v>
      </c>
      <c r="B490" s="26" t="n">
        <f aca="false">'Lista de Preços'!$B479</f>
        <v>0</v>
      </c>
      <c r="C490" s="27" t="str">
        <f aca="false">IF(COUNTA('Lista de Preços'!$A479:$W479)&gt;0,IF((COUNTBLANK('Lista de Preços'!$A479)+COUNTBLANK('Lista de Preços'!$B479)+COUNTBLANK('Lista de Preços'!$C479)+COUNTBLANK('Lista de Preços'!$D479)+COUNTBLANK('Lista de Preços'!$E479)+COUNTBLANK('Lista de Preços'!$F479)+COUNTBLANK('Lista de Preços'!$L479)+COUNTBLANK('Lista de Preços'!$M479)+COUNTBLANK('Lista de Preços'!$P479)+COUNTBLANK('Lista de Preços'!$U479)+COUNTBLANK('Lista de Preços'!$V479))&gt;0,"ERRO","OK"),"")</f>
        <v/>
      </c>
      <c r="D490" s="27" t="str">
        <f aca="false">IF(COUNTA('Lista de Preços'!$A479:$W479)&gt;0,IF(OR(AND('Lista de Preços'!$L479&lt;&gt;"",NOT(ISNUMBER('Lista de Preços'!$L479))),AND('Lista de Preços'!$M479&lt;&gt;"",NOT(ISNUMBER('Lista de Preços'!$M479)))),"ERRO","OK"),"")</f>
        <v/>
      </c>
      <c r="E490" s="27" t="str">
        <f aca="false">IF(COUNTA('Lista de Preços'!$A479:$W479)&gt;0,IF(AND(ISNUMBER('Lista de Preços'!$L479),ISNUMBER('Lista de Preços'!$M479),'Lista de Preços'!$L479&gt;'Lista de Preços'!$M479),"ERRO","OK"),"")</f>
        <v/>
      </c>
      <c r="F490" s="27" t="str">
        <f aca="true">IF(COUNTA('Lista de Preços'!$A479:$W479)&gt;0,IF(AND('Lista de Preços'!$S479&lt;&gt;"",ISNUMBER('Lista de Preços'!$S479),'Lista de Preços'!$S479&lt;TODAY()),"ERRO","OK"),"")</f>
        <v/>
      </c>
      <c r="G490" s="27" t="str">
        <f aca="false">IF(COUNTA('Lista de Preços'!$A479:$W479)&gt;0,IF(AND('Lista de Preços'!$A479&lt;&gt;"",COUNTIF('Lista de Preços'!$A$4:$A$503,'Lista de Preços'!$A479)&gt;1),"ERRO","OK"),"")</f>
        <v/>
      </c>
      <c r="H490" s="27" t="str">
        <f aca="false">IF(COUNTA('Lista de Preços'!$A479:$W479)&gt;0,IF(AND('Lista de Preços'!$N479&lt;&gt;"",ISNUMBER('Lista de Preços'!$N479),OR('Lista de Preços'!$N479&lt;0,'Lista de Preços'!$N479&gt;0.5)),"ERRO","OK"),"")</f>
        <v/>
      </c>
      <c r="I490" s="27" t="str">
        <f aca="false">IF(COUNTA('Lista de Preços'!$A479:$W479)&gt;0,IF(OR($C490="ERRO",$D490="ERRO",$E490="ERRO",$F490="ERRO",$G490="ERRO",$H490="ERRO"),"FALHA","OK"),"")</f>
        <v/>
      </c>
    </row>
    <row r="491" customFormat="false" ht="15" hidden="false" customHeight="false" outlineLevel="0" collapsed="false">
      <c r="A491" s="26" t="n">
        <f aca="false">'Lista de Preços'!$A480</f>
        <v>0</v>
      </c>
      <c r="B491" s="26" t="n">
        <f aca="false">'Lista de Preços'!$B480</f>
        <v>0</v>
      </c>
      <c r="C491" s="27" t="str">
        <f aca="false">IF(COUNTA('Lista de Preços'!$A480:$W480)&gt;0,IF((COUNTBLANK('Lista de Preços'!$A480)+COUNTBLANK('Lista de Preços'!$B480)+COUNTBLANK('Lista de Preços'!$C480)+COUNTBLANK('Lista de Preços'!$D480)+COUNTBLANK('Lista de Preços'!$E480)+COUNTBLANK('Lista de Preços'!$F480)+COUNTBLANK('Lista de Preços'!$L480)+COUNTBLANK('Lista de Preços'!$M480)+COUNTBLANK('Lista de Preços'!$P480)+COUNTBLANK('Lista de Preços'!$U480)+COUNTBLANK('Lista de Preços'!$V480))&gt;0,"ERRO","OK"),"")</f>
        <v/>
      </c>
      <c r="D491" s="27" t="str">
        <f aca="false">IF(COUNTA('Lista de Preços'!$A480:$W480)&gt;0,IF(OR(AND('Lista de Preços'!$L480&lt;&gt;"",NOT(ISNUMBER('Lista de Preços'!$L480))),AND('Lista de Preços'!$M480&lt;&gt;"",NOT(ISNUMBER('Lista de Preços'!$M480)))),"ERRO","OK"),"")</f>
        <v/>
      </c>
      <c r="E491" s="27" t="str">
        <f aca="false">IF(COUNTA('Lista de Preços'!$A480:$W480)&gt;0,IF(AND(ISNUMBER('Lista de Preços'!$L480),ISNUMBER('Lista de Preços'!$M480),'Lista de Preços'!$L480&gt;'Lista de Preços'!$M480),"ERRO","OK"),"")</f>
        <v/>
      </c>
      <c r="F491" s="27" t="str">
        <f aca="true">IF(COUNTA('Lista de Preços'!$A480:$W480)&gt;0,IF(AND('Lista de Preços'!$S480&lt;&gt;"",ISNUMBER('Lista de Preços'!$S480),'Lista de Preços'!$S480&lt;TODAY()),"ERRO","OK"),"")</f>
        <v/>
      </c>
      <c r="G491" s="27" t="str">
        <f aca="false">IF(COUNTA('Lista de Preços'!$A480:$W480)&gt;0,IF(AND('Lista de Preços'!$A480&lt;&gt;"",COUNTIF('Lista de Preços'!$A$4:$A$503,'Lista de Preços'!$A480)&gt;1),"ERRO","OK"),"")</f>
        <v/>
      </c>
      <c r="H491" s="27" t="str">
        <f aca="false">IF(COUNTA('Lista de Preços'!$A480:$W480)&gt;0,IF(AND('Lista de Preços'!$N480&lt;&gt;"",ISNUMBER('Lista de Preços'!$N480),OR('Lista de Preços'!$N480&lt;0,'Lista de Preços'!$N480&gt;0.5)),"ERRO","OK"),"")</f>
        <v/>
      </c>
      <c r="I491" s="27" t="str">
        <f aca="false">IF(COUNTA('Lista de Preços'!$A480:$W480)&gt;0,IF(OR($C491="ERRO",$D491="ERRO",$E491="ERRO",$F491="ERRO",$G491="ERRO",$H491="ERRO"),"FALHA","OK"),"")</f>
        <v/>
      </c>
    </row>
    <row r="492" customFormat="false" ht="15" hidden="false" customHeight="false" outlineLevel="0" collapsed="false">
      <c r="A492" s="26" t="n">
        <f aca="false">'Lista de Preços'!$A481</f>
        <v>0</v>
      </c>
      <c r="B492" s="26" t="n">
        <f aca="false">'Lista de Preços'!$B481</f>
        <v>0</v>
      </c>
      <c r="C492" s="27" t="str">
        <f aca="false">IF(COUNTA('Lista de Preços'!$A481:$W481)&gt;0,IF((COUNTBLANK('Lista de Preços'!$A481)+COUNTBLANK('Lista de Preços'!$B481)+COUNTBLANK('Lista de Preços'!$C481)+COUNTBLANK('Lista de Preços'!$D481)+COUNTBLANK('Lista de Preços'!$E481)+COUNTBLANK('Lista de Preços'!$F481)+COUNTBLANK('Lista de Preços'!$L481)+COUNTBLANK('Lista de Preços'!$M481)+COUNTBLANK('Lista de Preços'!$P481)+COUNTBLANK('Lista de Preços'!$U481)+COUNTBLANK('Lista de Preços'!$V481))&gt;0,"ERRO","OK"),"")</f>
        <v/>
      </c>
      <c r="D492" s="27" t="str">
        <f aca="false">IF(COUNTA('Lista de Preços'!$A481:$W481)&gt;0,IF(OR(AND('Lista de Preços'!$L481&lt;&gt;"",NOT(ISNUMBER('Lista de Preços'!$L481))),AND('Lista de Preços'!$M481&lt;&gt;"",NOT(ISNUMBER('Lista de Preços'!$M481)))),"ERRO","OK"),"")</f>
        <v/>
      </c>
      <c r="E492" s="27" t="str">
        <f aca="false">IF(COUNTA('Lista de Preços'!$A481:$W481)&gt;0,IF(AND(ISNUMBER('Lista de Preços'!$L481),ISNUMBER('Lista de Preços'!$M481),'Lista de Preços'!$L481&gt;'Lista de Preços'!$M481),"ERRO","OK"),"")</f>
        <v/>
      </c>
      <c r="F492" s="27" t="str">
        <f aca="true">IF(COUNTA('Lista de Preços'!$A481:$W481)&gt;0,IF(AND('Lista de Preços'!$S481&lt;&gt;"",ISNUMBER('Lista de Preços'!$S481),'Lista de Preços'!$S481&lt;TODAY()),"ERRO","OK"),"")</f>
        <v/>
      </c>
      <c r="G492" s="27" t="str">
        <f aca="false">IF(COUNTA('Lista de Preços'!$A481:$W481)&gt;0,IF(AND('Lista de Preços'!$A481&lt;&gt;"",COUNTIF('Lista de Preços'!$A$4:$A$503,'Lista de Preços'!$A481)&gt;1),"ERRO","OK"),"")</f>
        <v/>
      </c>
      <c r="H492" s="27" t="str">
        <f aca="false">IF(COUNTA('Lista de Preços'!$A481:$W481)&gt;0,IF(AND('Lista de Preços'!$N481&lt;&gt;"",ISNUMBER('Lista de Preços'!$N481),OR('Lista de Preços'!$N481&lt;0,'Lista de Preços'!$N481&gt;0.5)),"ERRO","OK"),"")</f>
        <v/>
      </c>
      <c r="I492" s="27" t="str">
        <f aca="false">IF(COUNTA('Lista de Preços'!$A481:$W481)&gt;0,IF(OR($C492="ERRO",$D492="ERRO",$E492="ERRO",$F492="ERRO",$G492="ERRO",$H492="ERRO"),"FALHA","OK"),"")</f>
        <v/>
      </c>
    </row>
    <row r="493" customFormat="false" ht="15" hidden="false" customHeight="false" outlineLevel="0" collapsed="false">
      <c r="A493" s="26" t="n">
        <f aca="false">'Lista de Preços'!$A482</f>
        <v>0</v>
      </c>
      <c r="B493" s="26" t="n">
        <f aca="false">'Lista de Preços'!$B482</f>
        <v>0</v>
      </c>
      <c r="C493" s="27" t="str">
        <f aca="false">IF(COUNTA('Lista de Preços'!$A482:$W482)&gt;0,IF((COUNTBLANK('Lista de Preços'!$A482)+COUNTBLANK('Lista de Preços'!$B482)+COUNTBLANK('Lista de Preços'!$C482)+COUNTBLANK('Lista de Preços'!$D482)+COUNTBLANK('Lista de Preços'!$E482)+COUNTBLANK('Lista de Preços'!$F482)+COUNTBLANK('Lista de Preços'!$L482)+COUNTBLANK('Lista de Preços'!$M482)+COUNTBLANK('Lista de Preços'!$P482)+COUNTBLANK('Lista de Preços'!$U482)+COUNTBLANK('Lista de Preços'!$V482))&gt;0,"ERRO","OK"),"")</f>
        <v/>
      </c>
      <c r="D493" s="27" t="str">
        <f aca="false">IF(COUNTA('Lista de Preços'!$A482:$W482)&gt;0,IF(OR(AND('Lista de Preços'!$L482&lt;&gt;"",NOT(ISNUMBER('Lista de Preços'!$L482))),AND('Lista de Preços'!$M482&lt;&gt;"",NOT(ISNUMBER('Lista de Preços'!$M482)))),"ERRO","OK"),"")</f>
        <v/>
      </c>
      <c r="E493" s="27" t="str">
        <f aca="false">IF(COUNTA('Lista de Preços'!$A482:$W482)&gt;0,IF(AND(ISNUMBER('Lista de Preços'!$L482),ISNUMBER('Lista de Preços'!$M482),'Lista de Preços'!$L482&gt;'Lista de Preços'!$M482),"ERRO","OK"),"")</f>
        <v/>
      </c>
      <c r="F493" s="27" t="str">
        <f aca="true">IF(COUNTA('Lista de Preços'!$A482:$W482)&gt;0,IF(AND('Lista de Preços'!$S482&lt;&gt;"",ISNUMBER('Lista de Preços'!$S482),'Lista de Preços'!$S482&lt;TODAY()),"ERRO","OK"),"")</f>
        <v/>
      </c>
      <c r="G493" s="27" t="str">
        <f aca="false">IF(COUNTA('Lista de Preços'!$A482:$W482)&gt;0,IF(AND('Lista de Preços'!$A482&lt;&gt;"",COUNTIF('Lista de Preços'!$A$4:$A$503,'Lista de Preços'!$A482)&gt;1),"ERRO","OK"),"")</f>
        <v/>
      </c>
      <c r="H493" s="27" t="str">
        <f aca="false">IF(COUNTA('Lista de Preços'!$A482:$W482)&gt;0,IF(AND('Lista de Preços'!$N482&lt;&gt;"",ISNUMBER('Lista de Preços'!$N482),OR('Lista de Preços'!$N482&lt;0,'Lista de Preços'!$N482&gt;0.5)),"ERRO","OK"),"")</f>
        <v/>
      </c>
      <c r="I493" s="27" t="str">
        <f aca="false">IF(COUNTA('Lista de Preços'!$A482:$W482)&gt;0,IF(OR($C493="ERRO",$D493="ERRO",$E493="ERRO",$F493="ERRO",$G493="ERRO",$H493="ERRO"),"FALHA","OK"),"")</f>
        <v/>
      </c>
    </row>
    <row r="494" customFormat="false" ht="15" hidden="false" customHeight="false" outlineLevel="0" collapsed="false">
      <c r="A494" s="26" t="n">
        <f aca="false">'Lista de Preços'!$A483</f>
        <v>0</v>
      </c>
      <c r="B494" s="26" t="n">
        <f aca="false">'Lista de Preços'!$B483</f>
        <v>0</v>
      </c>
      <c r="C494" s="27" t="str">
        <f aca="false">IF(COUNTA('Lista de Preços'!$A483:$W483)&gt;0,IF((COUNTBLANK('Lista de Preços'!$A483)+COUNTBLANK('Lista de Preços'!$B483)+COUNTBLANK('Lista de Preços'!$C483)+COUNTBLANK('Lista de Preços'!$D483)+COUNTBLANK('Lista de Preços'!$E483)+COUNTBLANK('Lista de Preços'!$F483)+COUNTBLANK('Lista de Preços'!$L483)+COUNTBLANK('Lista de Preços'!$M483)+COUNTBLANK('Lista de Preços'!$P483)+COUNTBLANK('Lista de Preços'!$U483)+COUNTBLANK('Lista de Preços'!$V483))&gt;0,"ERRO","OK"),"")</f>
        <v/>
      </c>
      <c r="D494" s="27" t="str">
        <f aca="false">IF(COUNTA('Lista de Preços'!$A483:$W483)&gt;0,IF(OR(AND('Lista de Preços'!$L483&lt;&gt;"",NOT(ISNUMBER('Lista de Preços'!$L483))),AND('Lista de Preços'!$M483&lt;&gt;"",NOT(ISNUMBER('Lista de Preços'!$M483)))),"ERRO","OK"),"")</f>
        <v/>
      </c>
      <c r="E494" s="27" t="str">
        <f aca="false">IF(COUNTA('Lista de Preços'!$A483:$W483)&gt;0,IF(AND(ISNUMBER('Lista de Preços'!$L483),ISNUMBER('Lista de Preços'!$M483),'Lista de Preços'!$L483&gt;'Lista de Preços'!$M483),"ERRO","OK"),"")</f>
        <v/>
      </c>
      <c r="F494" s="27" t="str">
        <f aca="true">IF(COUNTA('Lista de Preços'!$A483:$W483)&gt;0,IF(AND('Lista de Preços'!$S483&lt;&gt;"",ISNUMBER('Lista de Preços'!$S483),'Lista de Preços'!$S483&lt;TODAY()),"ERRO","OK"),"")</f>
        <v/>
      </c>
      <c r="G494" s="27" t="str">
        <f aca="false">IF(COUNTA('Lista de Preços'!$A483:$W483)&gt;0,IF(AND('Lista de Preços'!$A483&lt;&gt;"",COUNTIF('Lista de Preços'!$A$4:$A$503,'Lista de Preços'!$A483)&gt;1),"ERRO","OK"),"")</f>
        <v/>
      </c>
      <c r="H494" s="27" t="str">
        <f aca="false">IF(COUNTA('Lista de Preços'!$A483:$W483)&gt;0,IF(AND('Lista de Preços'!$N483&lt;&gt;"",ISNUMBER('Lista de Preços'!$N483),OR('Lista de Preços'!$N483&lt;0,'Lista de Preços'!$N483&gt;0.5)),"ERRO","OK"),"")</f>
        <v/>
      </c>
      <c r="I494" s="27" t="str">
        <f aca="false">IF(COUNTA('Lista de Preços'!$A483:$W483)&gt;0,IF(OR($C494="ERRO",$D494="ERRO",$E494="ERRO",$F494="ERRO",$G494="ERRO",$H494="ERRO"),"FALHA","OK"),"")</f>
        <v/>
      </c>
    </row>
    <row r="495" customFormat="false" ht="15" hidden="false" customHeight="false" outlineLevel="0" collapsed="false">
      <c r="A495" s="26" t="n">
        <f aca="false">'Lista de Preços'!$A484</f>
        <v>0</v>
      </c>
      <c r="B495" s="26" t="n">
        <f aca="false">'Lista de Preços'!$B484</f>
        <v>0</v>
      </c>
      <c r="C495" s="27" t="str">
        <f aca="false">IF(COUNTA('Lista de Preços'!$A484:$W484)&gt;0,IF((COUNTBLANK('Lista de Preços'!$A484)+COUNTBLANK('Lista de Preços'!$B484)+COUNTBLANK('Lista de Preços'!$C484)+COUNTBLANK('Lista de Preços'!$D484)+COUNTBLANK('Lista de Preços'!$E484)+COUNTBLANK('Lista de Preços'!$F484)+COUNTBLANK('Lista de Preços'!$L484)+COUNTBLANK('Lista de Preços'!$M484)+COUNTBLANK('Lista de Preços'!$P484)+COUNTBLANK('Lista de Preços'!$U484)+COUNTBLANK('Lista de Preços'!$V484))&gt;0,"ERRO","OK"),"")</f>
        <v/>
      </c>
      <c r="D495" s="27" t="str">
        <f aca="false">IF(COUNTA('Lista de Preços'!$A484:$W484)&gt;0,IF(OR(AND('Lista de Preços'!$L484&lt;&gt;"",NOT(ISNUMBER('Lista de Preços'!$L484))),AND('Lista de Preços'!$M484&lt;&gt;"",NOT(ISNUMBER('Lista de Preços'!$M484)))),"ERRO","OK"),"")</f>
        <v/>
      </c>
      <c r="E495" s="27" t="str">
        <f aca="false">IF(COUNTA('Lista de Preços'!$A484:$W484)&gt;0,IF(AND(ISNUMBER('Lista de Preços'!$L484),ISNUMBER('Lista de Preços'!$M484),'Lista de Preços'!$L484&gt;'Lista de Preços'!$M484),"ERRO","OK"),"")</f>
        <v/>
      </c>
      <c r="F495" s="27" t="str">
        <f aca="true">IF(COUNTA('Lista de Preços'!$A484:$W484)&gt;0,IF(AND('Lista de Preços'!$S484&lt;&gt;"",ISNUMBER('Lista de Preços'!$S484),'Lista de Preços'!$S484&lt;TODAY()),"ERRO","OK"),"")</f>
        <v/>
      </c>
      <c r="G495" s="27" t="str">
        <f aca="false">IF(COUNTA('Lista de Preços'!$A484:$W484)&gt;0,IF(AND('Lista de Preços'!$A484&lt;&gt;"",COUNTIF('Lista de Preços'!$A$4:$A$503,'Lista de Preços'!$A484)&gt;1),"ERRO","OK"),"")</f>
        <v/>
      </c>
      <c r="H495" s="27" t="str">
        <f aca="false">IF(COUNTA('Lista de Preços'!$A484:$W484)&gt;0,IF(AND('Lista de Preços'!$N484&lt;&gt;"",ISNUMBER('Lista de Preços'!$N484),OR('Lista de Preços'!$N484&lt;0,'Lista de Preços'!$N484&gt;0.5)),"ERRO","OK"),"")</f>
        <v/>
      </c>
      <c r="I495" s="27" t="str">
        <f aca="false">IF(COUNTA('Lista de Preços'!$A484:$W484)&gt;0,IF(OR($C495="ERRO",$D495="ERRO",$E495="ERRO",$F495="ERRO",$G495="ERRO",$H495="ERRO"),"FALHA","OK"),"")</f>
        <v/>
      </c>
    </row>
    <row r="496" customFormat="false" ht="15" hidden="false" customHeight="false" outlineLevel="0" collapsed="false">
      <c r="A496" s="26" t="n">
        <f aca="false">'Lista de Preços'!$A485</f>
        <v>0</v>
      </c>
      <c r="B496" s="26" t="n">
        <f aca="false">'Lista de Preços'!$B485</f>
        <v>0</v>
      </c>
      <c r="C496" s="27" t="str">
        <f aca="false">IF(COUNTA('Lista de Preços'!$A485:$W485)&gt;0,IF((COUNTBLANK('Lista de Preços'!$A485)+COUNTBLANK('Lista de Preços'!$B485)+COUNTBLANK('Lista de Preços'!$C485)+COUNTBLANK('Lista de Preços'!$D485)+COUNTBLANK('Lista de Preços'!$E485)+COUNTBLANK('Lista de Preços'!$F485)+COUNTBLANK('Lista de Preços'!$L485)+COUNTBLANK('Lista de Preços'!$M485)+COUNTBLANK('Lista de Preços'!$P485)+COUNTBLANK('Lista de Preços'!$U485)+COUNTBLANK('Lista de Preços'!$V485))&gt;0,"ERRO","OK"),"")</f>
        <v/>
      </c>
      <c r="D496" s="27" t="str">
        <f aca="false">IF(COUNTA('Lista de Preços'!$A485:$W485)&gt;0,IF(OR(AND('Lista de Preços'!$L485&lt;&gt;"",NOT(ISNUMBER('Lista de Preços'!$L485))),AND('Lista de Preços'!$M485&lt;&gt;"",NOT(ISNUMBER('Lista de Preços'!$M485)))),"ERRO","OK"),"")</f>
        <v/>
      </c>
      <c r="E496" s="27" t="str">
        <f aca="false">IF(COUNTA('Lista de Preços'!$A485:$W485)&gt;0,IF(AND(ISNUMBER('Lista de Preços'!$L485),ISNUMBER('Lista de Preços'!$M485),'Lista de Preços'!$L485&gt;'Lista de Preços'!$M485),"ERRO","OK"),"")</f>
        <v/>
      </c>
      <c r="F496" s="27" t="str">
        <f aca="true">IF(COUNTA('Lista de Preços'!$A485:$W485)&gt;0,IF(AND('Lista de Preços'!$S485&lt;&gt;"",ISNUMBER('Lista de Preços'!$S485),'Lista de Preços'!$S485&lt;TODAY()),"ERRO","OK"),"")</f>
        <v/>
      </c>
      <c r="G496" s="27" t="str">
        <f aca="false">IF(COUNTA('Lista de Preços'!$A485:$W485)&gt;0,IF(AND('Lista de Preços'!$A485&lt;&gt;"",COUNTIF('Lista de Preços'!$A$4:$A$503,'Lista de Preços'!$A485)&gt;1),"ERRO","OK"),"")</f>
        <v/>
      </c>
      <c r="H496" s="27" t="str">
        <f aca="false">IF(COUNTA('Lista de Preços'!$A485:$W485)&gt;0,IF(AND('Lista de Preços'!$N485&lt;&gt;"",ISNUMBER('Lista de Preços'!$N485),OR('Lista de Preços'!$N485&lt;0,'Lista de Preços'!$N485&gt;0.5)),"ERRO","OK"),"")</f>
        <v/>
      </c>
      <c r="I496" s="27" t="str">
        <f aca="false">IF(COUNTA('Lista de Preços'!$A485:$W485)&gt;0,IF(OR($C496="ERRO",$D496="ERRO",$E496="ERRO",$F496="ERRO",$G496="ERRO",$H496="ERRO"),"FALHA","OK"),"")</f>
        <v/>
      </c>
    </row>
    <row r="497" customFormat="false" ht="15" hidden="false" customHeight="false" outlineLevel="0" collapsed="false">
      <c r="A497" s="26" t="n">
        <f aca="false">'Lista de Preços'!$A486</f>
        <v>0</v>
      </c>
      <c r="B497" s="26" t="n">
        <f aca="false">'Lista de Preços'!$B486</f>
        <v>0</v>
      </c>
      <c r="C497" s="27" t="str">
        <f aca="false">IF(COUNTA('Lista de Preços'!$A486:$W486)&gt;0,IF((COUNTBLANK('Lista de Preços'!$A486)+COUNTBLANK('Lista de Preços'!$B486)+COUNTBLANK('Lista de Preços'!$C486)+COUNTBLANK('Lista de Preços'!$D486)+COUNTBLANK('Lista de Preços'!$E486)+COUNTBLANK('Lista de Preços'!$F486)+COUNTBLANK('Lista de Preços'!$L486)+COUNTBLANK('Lista de Preços'!$M486)+COUNTBLANK('Lista de Preços'!$P486)+COUNTBLANK('Lista de Preços'!$U486)+COUNTBLANK('Lista de Preços'!$V486))&gt;0,"ERRO","OK"),"")</f>
        <v/>
      </c>
      <c r="D497" s="27" t="str">
        <f aca="false">IF(COUNTA('Lista de Preços'!$A486:$W486)&gt;0,IF(OR(AND('Lista de Preços'!$L486&lt;&gt;"",NOT(ISNUMBER('Lista de Preços'!$L486))),AND('Lista de Preços'!$M486&lt;&gt;"",NOT(ISNUMBER('Lista de Preços'!$M486)))),"ERRO","OK"),"")</f>
        <v/>
      </c>
      <c r="E497" s="27" t="str">
        <f aca="false">IF(COUNTA('Lista de Preços'!$A486:$W486)&gt;0,IF(AND(ISNUMBER('Lista de Preços'!$L486),ISNUMBER('Lista de Preços'!$M486),'Lista de Preços'!$L486&gt;'Lista de Preços'!$M486),"ERRO","OK"),"")</f>
        <v/>
      </c>
      <c r="F497" s="27" t="str">
        <f aca="true">IF(COUNTA('Lista de Preços'!$A486:$W486)&gt;0,IF(AND('Lista de Preços'!$S486&lt;&gt;"",ISNUMBER('Lista de Preços'!$S486),'Lista de Preços'!$S486&lt;TODAY()),"ERRO","OK"),"")</f>
        <v/>
      </c>
      <c r="G497" s="27" t="str">
        <f aca="false">IF(COUNTA('Lista de Preços'!$A486:$W486)&gt;0,IF(AND('Lista de Preços'!$A486&lt;&gt;"",COUNTIF('Lista de Preços'!$A$4:$A$503,'Lista de Preços'!$A486)&gt;1),"ERRO","OK"),"")</f>
        <v/>
      </c>
      <c r="H497" s="27" t="str">
        <f aca="false">IF(COUNTA('Lista de Preços'!$A486:$W486)&gt;0,IF(AND('Lista de Preços'!$N486&lt;&gt;"",ISNUMBER('Lista de Preços'!$N486),OR('Lista de Preços'!$N486&lt;0,'Lista de Preços'!$N486&gt;0.5)),"ERRO","OK"),"")</f>
        <v/>
      </c>
      <c r="I497" s="27" t="str">
        <f aca="false">IF(COUNTA('Lista de Preços'!$A486:$W486)&gt;0,IF(OR($C497="ERRO",$D497="ERRO",$E497="ERRO",$F497="ERRO",$G497="ERRO",$H497="ERRO"),"FALHA","OK"),"")</f>
        <v/>
      </c>
    </row>
    <row r="498" customFormat="false" ht="15" hidden="false" customHeight="false" outlineLevel="0" collapsed="false">
      <c r="A498" s="26" t="n">
        <f aca="false">'Lista de Preços'!$A487</f>
        <v>0</v>
      </c>
      <c r="B498" s="26" t="n">
        <f aca="false">'Lista de Preços'!$B487</f>
        <v>0</v>
      </c>
      <c r="C498" s="27" t="str">
        <f aca="false">IF(COUNTA('Lista de Preços'!$A487:$W487)&gt;0,IF((COUNTBLANK('Lista de Preços'!$A487)+COUNTBLANK('Lista de Preços'!$B487)+COUNTBLANK('Lista de Preços'!$C487)+COUNTBLANK('Lista de Preços'!$D487)+COUNTBLANK('Lista de Preços'!$E487)+COUNTBLANK('Lista de Preços'!$F487)+COUNTBLANK('Lista de Preços'!$L487)+COUNTBLANK('Lista de Preços'!$M487)+COUNTBLANK('Lista de Preços'!$P487)+COUNTBLANK('Lista de Preços'!$U487)+COUNTBLANK('Lista de Preços'!$V487))&gt;0,"ERRO","OK"),"")</f>
        <v/>
      </c>
      <c r="D498" s="27" t="str">
        <f aca="false">IF(COUNTA('Lista de Preços'!$A487:$W487)&gt;0,IF(OR(AND('Lista de Preços'!$L487&lt;&gt;"",NOT(ISNUMBER('Lista de Preços'!$L487))),AND('Lista de Preços'!$M487&lt;&gt;"",NOT(ISNUMBER('Lista de Preços'!$M487)))),"ERRO","OK"),"")</f>
        <v/>
      </c>
      <c r="E498" s="27" t="str">
        <f aca="false">IF(COUNTA('Lista de Preços'!$A487:$W487)&gt;0,IF(AND(ISNUMBER('Lista de Preços'!$L487),ISNUMBER('Lista de Preços'!$M487),'Lista de Preços'!$L487&gt;'Lista de Preços'!$M487),"ERRO","OK"),"")</f>
        <v/>
      </c>
      <c r="F498" s="27" t="str">
        <f aca="true">IF(COUNTA('Lista de Preços'!$A487:$W487)&gt;0,IF(AND('Lista de Preços'!$S487&lt;&gt;"",ISNUMBER('Lista de Preços'!$S487),'Lista de Preços'!$S487&lt;TODAY()),"ERRO","OK"),"")</f>
        <v/>
      </c>
      <c r="G498" s="27" t="str">
        <f aca="false">IF(COUNTA('Lista de Preços'!$A487:$W487)&gt;0,IF(AND('Lista de Preços'!$A487&lt;&gt;"",COUNTIF('Lista de Preços'!$A$4:$A$503,'Lista de Preços'!$A487)&gt;1),"ERRO","OK"),"")</f>
        <v/>
      </c>
      <c r="H498" s="27" t="str">
        <f aca="false">IF(COUNTA('Lista de Preços'!$A487:$W487)&gt;0,IF(AND('Lista de Preços'!$N487&lt;&gt;"",ISNUMBER('Lista de Preços'!$N487),OR('Lista de Preços'!$N487&lt;0,'Lista de Preços'!$N487&gt;0.5)),"ERRO","OK"),"")</f>
        <v/>
      </c>
      <c r="I498" s="27" t="str">
        <f aca="false">IF(COUNTA('Lista de Preços'!$A487:$W487)&gt;0,IF(OR($C498="ERRO",$D498="ERRO",$E498="ERRO",$F498="ERRO",$G498="ERRO",$H498="ERRO"),"FALHA","OK"),"")</f>
        <v/>
      </c>
    </row>
    <row r="499" customFormat="false" ht="15" hidden="false" customHeight="false" outlineLevel="0" collapsed="false">
      <c r="A499" s="26" t="n">
        <f aca="false">'Lista de Preços'!$A488</f>
        <v>0</v>
      </c>
      <c r="B499" s="26" t="n">
        <f aca="false">'Lista de Preços'!$B488</f>
        <v>0</v>
      </c>
      <c r="C499" s="27" t="str">
        <f aca="false">IF(COUNTA('Lista de Preços'!$A488:$W488)&gt;0,IF((COUNTBLANK('Lista de Preços'!$A488)+COUNTBLANK('Lista de Preços'!$B488)+COUNTBLANK('Lista de Preços'!$C488)+COUNTBLANK('Lista de Preços'!$D488)+COUNTBLANK('Lista de Preços'!$E488)+COUNTBLANK('Lista de Preços'!$F488)+COUNTBLANK('Lista de Preços'!$L488)+COUNTBLANK('Lista de Preços'!$M488)+COUNTBLANK('Lista de Preços'!$P488)+COUNTBLANK('Lista de Preços'!$U488)+COUNTBLANK('Lista de Preços'!$V488))&gt;0,"ERRO","OK"),"")</f>
        <v/>
      </c>
      <c r="D499" s="27" t="str">
        <f aca="false">IF(COUNTA('Lista de Preços'!$A488:$W488)&gt;0,IF(OR(AND('Lista de Preços'!$L488&lt;&gt;"",NOT(ISNUMBER('Lista de Preços'!$L488))),AND('Lista de Preços'!$M488&lt;&gt;"",NOT(ISNUMBER('Lista de Preços'!$M488)))),"ERRO","OK"),"")</f>
        <v/>
      </c>
      <c r="E499" s="27" t="str">
        <f aca="false">IF(COUNTA('Lista de Preços'!$A488:$W488)&gt;0,IF(AND(ISNUMBER('Lista de Preços'!$L488),ISNUMBER('Lista de Preços'!$M488),'Lista de Preços'!$L488&gt;'Lista de Preços'!$M488),"ERRO","OK"),"")</f>
        <v/>
      </c>
      <c r="F499" s="27" t="str">
        <f aca="true">IF(COUNTA('Lista de Preços'!$A488:$W488)&gt;0,IF(AND('Lista de Preços'!$S488&lt;&gt;"",ISNUMBER('Lista de Preços'!$S488),'Lista de Preços'!$S488&lt;TODAY()),"ERRO","OK"),"")</f>
        <v/>
      </c>
      <c r="G499" s="27" t="str">
        <f aca="false">IF(COUNTA('Lista de Preços'!$A488:$W488)&gt;0,IF(AND('Lista de Preços'!$A488&lt;&gt;"",COUNTIF('Lista de Preços'!$A$4:$A$503,'Lista de Preços'!$A488)&gt;1),"ERRO","OK"),"")</f>
        <v/>
      </c>
      <c r="H499" s="27" t="str">
        <f aca="false">IF(COUNTA('Lista de Preços'!$A488:$W488)&gt;0,IF(AND('Lista de Preços'!$N488&lt;&gt;"",ISNUMBER('Lista de Preços'!$N488),OR('Lista de Preços'!$N488&lt;0,'Lista de Preços'!$N488&gt;0.5)),"ERRO","OK"),"")</f>
        <v/>
      </c>
      <c r="I499" s="27" t="str">
        <f aca="false">IF(COUNTA('Lista de Preços'!$A488:$W488)&gt;0,IF(OR($C499="ERRO",$D499="ERRO",$E499="ERRO",$F499="ERRO",$G499="ERRO",$H499="ERRO"),"FALHA","OK"),"")</f>
        <v/>
      </c>
    </row>
    <row r="500" customFormat="false" ht="15" hidden="false" customHeight="false" outlineLevel="0" collapsed="false">
      <c r="A500" s="26" t="n">
        <f aca="false">'Lista de Preços'!$A489</f>
        <v>0</v>
      </c>
      <c r="B500" s="26" t="n">
        <f aca="false">'Lista de Preços'!$B489</f>
        <v>0</v>
      </c>
      <c r="C500" s="27" t="str">
        <f aca="false">IF(COUNTA('Lista de Preços'!$A489:$W489)&gt;0,IF((COUNTBLANK('Lista de Preços'!$A489)+COUNTBLANK('Lista de Preços'!$B489)+COUNTBLANK('Lista de Preços'!$C489)+COUNTBLANK('Lista de Preços'!$D489)+COUNTBLANK('Lista de Preços'!$E489)+COUNTBLANK('Lista de Preços'!$F489)+COUNTBLANK('Lista de Preços'!$L489)+COUNTBLANK('Lista de Preços'!$M489)+COUNTBLANK('Lista de Preços'!$P489)+COUNTBLANK('Lista de Preços'!$U489)+COUNTBLANK('Lista de Preços'!$V489))&gt;0,"ERRO","OK"),"")</f>
        <v/>
      </c>
      <c r="D500" s="27" t="str">
        <f aca="false">IF(COUNTA('Lista de Preços'!$A489:$W489)&gt;0,IF(OR(AND('Lista de Preços'!$L489&lt;&gt;"",NOT(ISNUMBER('Lista de Preços'!$L489))),AND('Lista de Preços'!$M489&lt;&gt;"",NOT(ISNUMBER('Lista de Preços'!$M489)))),"ERRO","OK"),"")</f>
        <v/>
      </c>
      <c r="E500" s="27" t="str">
        <f aca="false">IF(COUNTA('Lista de Preços'!$A489:$W489)&gt;0,IF(AND(ISNUMBER('Lista de Preços'!$L489),ISNUMBER('Lista de Preços'!$M489),'Lista de Preços'!$L489&gt;'Lista de Preços'!$M489),"ERRO","OK"),"")</f>
        <v/>
      </c>
      <c r="F500" s="27" t="str">
        <f aca="true">IF(COUNTA('Lista de Preços'!$A489:$W489)&gt;0,IF(AND('Lista de Preços'!$S489&lt;&gt;"",ISNUMBER('Lista de Preços'!$S489),'Lista de Preços'!$S489&lt;TODAY()),"ERRO","OK"),"")</f>
        <v/>
      </c>
      <c r="G500" s="27" t="str">
        <f aca="false">IF(COUNTA('Lista de Preços'!$A489:$W489)&gt;0,IF(AND('Lista de Preços'!$A489&lt;&gt;"",COUNTIF('Lista de Preços'!$A$4:$A$503,'Lista de Preços'!$A489)&gt;1),"ERRO","OK"),"")</f>
        <v/>
      </c>
      <c r="H500" s="27" t="str">
        <f aca="false">IF(COUNTA('Lista de Preços'!$A489:$W489)&gt;0,IF(AND('Lista de Preços'!$N489&lt;&gt;"",ISNUMBER('Lista de Preços'!$N489),OR('Lista de Preços'!$N489&lt;0,'Lista de Preços'!$N489&gt;0.5)),"ERRO","OK"),"")</f>
        <v/>
      </c>
      <c r="I500" s="27" t="str">
        <f aca="false">IF(COUNTA('Lista de Preços'!$A489:$W489)&gt;0,IF(OR($C500="ERRO",$D500="ERRO",$E500="ERRO",$F500="ERRO",$G500="ERRO",$H500="ERRO"),"FALHA","OK"),"")</f>
        <v/>
      </c>
    </row>
    <row r="501" customFormat="false" ht="15" hidden="false" customHeight="false" outlineLevel="0" collapsed="false">
      <c r="A501" s="26" t="n">
        <f aca="false">'Lista de Preços'!$A490</f>
        <v>0</v>
      </c>
      <c r="B501" s="26" t="n">
        <f aca="false">'Lista de Preços'!$B490</f>
        <v>0</v>
      </c>
      <c r="C501" s="27" t="str">
        <f aca="false">IF(COUNTA('Lista de Preços'!$A490:$W490)&gt;0,IF((COUNTBLANK('Lista de Preços'!$A490)+COUNTBLANK('Lista de Preços'!$B490)+COUNTBLANK('Lista de Preços'!$C490)+COUNTBLANK('Lista de Preços'!$D490)+COUNTBLANK('Lista de Preços'!$E490)+COUNTBLANK('Lista de Preços'!$F490)+COUNTBLANK('Lista de Preços'!$L490)+COUNTBLANK('Lista de Preços'!$M490)+COUNTBLANK('Lista de Preços'!$P490)+COUNTBLANK('Lista de Preços'!$U490)+COUNTBLANK('Lista de Preços'!$V490))&gt;0,"ERRO","OK"),"")</f>
        <v/>
      </c>
      <c r="D501" s="27" t="str">
        <f aca="false">IF(COUNTA('Lista de Preços'!$A490:$W490)&gt;0,IF(OR(AND('Lista de Preços'!$L490&lt;&gt;"",NOT(ISNUMBER('Lista de Preços'!$L490))),AND('Lista de Preços'!$M490&lt;&gt;"",NOT(ISNUMBER('Lista de Preços'!$M490)))),"ERRO","OK"),"")</f>
        <v/>
      </c>
      <c r="E501" s="27" t="str">
        <f aca="false">IF(COUNTA('Lista de Preços'!$A490:$W490)&gt;0,IF(AND(ISNUMBER('Lista de Preços'!$L490),ISNUMBER('Lista de Preços'!$M490),'Lista de Preços'!$L490&gt;'Lista de Preços'!$M490),"ERRO","OK"),"")</f>
        <v/>
      </c>
      <c r="F501" s="27" t="str">
        <f aca="true">IF(COUNTA('Lista de Preços'!$A490:$W490)&gt;0,IF(AND('Lista de Preços'!$S490&lt;&gt;"",ISNUMBER('Lista de Preços'!$S490),'Lista de Preços'!$S490&lt;TODAY()),"ERRO","OK"),"")</f>
        <v/>
      </c>
      <c r="G501" s="27" t="str">
        <f aca="false">IF(COUNTA('Lista de Preços'!$A490:$W490)&gt;0,IF(AND('Lista de Preços'!$A490&lt;&gt;"",COUNTIF('Lista de Preços'!$A$4:$A$503,'Lista de Preços'!$A490)&gt;1),"ERRO","OK"),"")</f>
        <v/>
      </c>
      <c r="H501" s="27" t="str">
        <f aca="false">IF(COUNTA('Lista de Preços'!$A490:$W490)&gt;0,IF(AND('Lista de Preços'!$N490&lt;&gt;"",ISNUMBER('Lista de Preços'!$N490),OR('Lista de Preços'!$N490&lt;0,'Lista de Preços'!$N490&gt;0.5)),"ERRO","OK"),"")</f>
        <v/>
      </c>
      <c r="I501" s="27" t="str">
        <f aca="false">IF(COUNTA('Lista de Preços'!$A490:$W490)&gt;0,IF(OR($C501="ERRO",$D501="ERRO",$E501="ERRO",$F501="ERRO",$G501="ERRO",$H501="ERRO"),"FALHA","OK"),"")</f>
        <v/>
      </c>
    </row>
    <row r="502" customFormat="false" ht="15" hidden="false" customHeight="false" outlineLevel="0" collapsed="false">
      <c r="A502" s="26" t="n">
        <f aca="false">'Lista de Preços'!$A491</f>
        <v>0</v>
      </c>
      <c r="B502" s="26" t="n">
        <f aca="false">'Lista de Preços'!$B491</f>
        <v>0</v>
      </c>
      <c r="C502" s="27" t="str">
        <f aca="false">IF(COUNTA('Lista de Preços'!$A491:$W491)&gt;0,IF((COUNTBLANK('Lista de Preços'!$A491)+COUNTBLANK('Lista de Preços'!$B491)+COUNTBLANK('Lista de Preços'!$C491)+COUNTBLANK('Lista de Preços'!$D491)+COUNTBLANK('Lista de Preços'!$E491)+COUNTBLANK('Lista de Preços'!$F491)+COUNTBLANK('Lista de Preços'!$L491)+COUNTBLANK('Lista de Preços'!$M491)+COUNTBLANK('Lista de Preços'!$P491)+COUNTBLANK('Lista de Preços'!$U491)+COUNTBLANK('Lista de Preços'!$V491))&gt;0,"ERRO","OK"),"")</f>
        <v/>
      </c>
      <c r="D502" s="27" t="str">
        <f aca="false">IF(COUNTA('Lista de Preços'!$A491:$W491)&gt;0,IF(OR(AND('Lista de Preços'!$L491&lt;&gt;"",NOT(ISNUMBER('Lista de Preços'!$L491))),AND('Lista de Preços'!$M491&lt;&gt;"",NOT(ISNUMBER('Lista de Preços'!$M491)))),"ERRO","OK"),"")</f>
        <v/>
      </c>
      <c r="E502" s="27" t="str">
        <f aca="false">IF(COUNTA('Lista de Preços'!$A491:$W491)&gt;0,IF(AND(ISNUMBER('Lista de Preços'!$L491),ISNUMBER('Lista de Preços'!$M491),'Lista de Preços'!$L491&gt;'Lista de Preços'!$M491),"ERRO","OK"),"")</f>
        <v/>
      </c>
      <c r="F502" s="27" t="str">
        <f aca="true">IF(COUNTA('Lista de Preços'!$A491:$W491)&gt;0,IF(AND('Lista de Preços'!$S491&lt;&gt;"",ISNUMBER('Lista de Preços'!$S491),'Lista de Preços'!$S491&lt;TODAY()),"ERRO","OK"),"")</f>
        <v/>
      </c>
      <c r="G502" s="27" t="str">
        <f aca="false">IF(COUNTA('Lista de Preços'!$A491:$W491)&gt;0,IF(AND('Lista de Preços'!$A491&lt;&gt;"",COUNTIF('Lista de Preços'!$A$4:$A$503,'Lista de Preços'!$A491)&gt;1),"ERRO","OK"),"")</f>
        <v/>
      </c>
      <c r="H502" s="27" t="str">
        <f aca="false">IF(COUNTA('Lista de Preços'!$A491:$W491)&gt;0,IF(AND('Lista de Preços'!$N491&lt;&gt;"",ISNUMBER('Lista de Preços'!$N491),OR('Lista de Preços'!$N491&lt;0,'Lista de Preços'!$N491&gt;0.5)),"ERRO","OK"),"")</f>
        <v/>
      </c>
      <c r="I502" s="27" t="str">
        <f aca="false">IF(COUNTA('Lista de Preços'!$A491:$W491)&gt;0,IF(OR($C502="ERRO",$D502="ERRO",$E502="ERRO",$F502="ERRO",$G502="ERRO",$H502="ERRO"),"FALHA","OK"),"")</f>
        <v/>
      </c>
    </row>
    <row r="503" customFormat="false" ht="15" hidden="false" customHeight="false" outlineLevel="0" collapsed="false">
      <c r="A503" s="26" t="n">
        <f aca="false">'Lista de Preços'!$A492</f>
        <v>0</v>
      </c>
      <c r="B503" s="26" t="n">
        <f aca="false">'Lista de Preços'!$B492</f>
        <v>0</v>
      </c>
      <c r="C503" s="27" t="str">
        <f aca="false">IF(COUNTA('Lista de Preços'!$A492:$W492)&gt;0,IF((COUNTBLANK('Lista de Preços'!$A492)+COUNTBLANK('Lista de Preços'!$B492)+COUNTBLANK('Lista de Preços'!$C492)+COUNTBLANK('Lista de Preços'!$D492)+COUNTBLANK('Lista de Preços'!$E492)+COUNTBLANK('Lista de Preços'!$F492)+COUNTBLANK('Lista de Preços'!$L492)+COUNTBLANK('Lista de Preços'!$M492)+COUNTBLANK('Lista de Preços'!$P492)+COUNTBLANK('Lista de Preços'!$U492)+COUNTBLANK('Lista de Preços'!$V492))&gt;0,"ERRO","OK"),"")</f>
        <v/>
      </c>
      <c r="D503" s="27" t="str">
        <f aca="false">IF(COUNTA('Lista de Preços'!$A492:$W492)&gt;0,IF(OR(AND('Lista de Preços'!$L492&lt;&gt;"",NOT(ISNUMBER('Lista de Preços'!$L492))),AND('Lista de Preços'!$M492&lt;&gt;"",NOT(ISNUMBER('Lista de Preços'!$M492)))),"ERRO","OK"),"")</f>
        <v/>
      </c>
      <c r="E503" s="27" t="str">
        <f aca="false">IF(COUNTA('Lista de Preços'!$A492:$W492)&gt;0,IF(AND(ISNUMBER('Lista de Preços'!$L492),ISNUMBER('Lista de Preços'!$M492),'Lista de Preços'!$L492&gt;'Lista de Preços'!$M492),"ERRO","OK"),"")</f>
        <v/>
      </c>
      <c r="F503" s="27" t="str">
        <f aca="true">IF(COUNTA('Lista de Preços'!$A492:$W492)&gt;0,IF(AND('Lista de Preços'!$S492&lt;&gt;"",ISNUMBER('Lista de Preços'!$S492),'Lista de Preços'!$S492&lt;TODAY()),"ERRO","OK"),"")</f>
        <v/>
      </c>
      <c r="G503" s="27" t="str">
        <f aca="false">IF(COUNTA('Lista de Preços'!$A492:$W492)&gt;0,IF(AND('Lista de Preços'!$A492&lt;&gt;"",COUNTIF('Lista de Preços'!$A$4:$A$503,'Lista de Preços'!$A492)&gt;1),"ERRO","OK"),"")</f>
        <v/>
      </c>
      <c r="H503" s="27" t="str">
        <f aca="false">IF(COUNTA('Lista de Preços'!$A492:$W492)&gt;0,IF(AND('Lista de Preços'!$N492&lt;&gt;"",ISNUMBER('Lista de Preços'!$N492),OR('Lista de Preços'!$N492&lt;0,'Lista de Preços'!$N492&gt;0.5)),"ERRO","OK"),"")</f>
        <v/>
      </c>
      <c r="I503" s="27" t="str">
        <f aca="false">IF(COUNTA('Lista de Preços'!$A492:$W492)&gt;0,IF(OR($C503="ERRO",$D503="ERRO",$E503="ERRO",$F503="ERRO",$G503="ERRO",$H503="ERRO"),"FALHA","OK"),"")</f>
        <v/>
      </c>
    </row>
    <row r="504" customFormat="false" ht="15" hidden="false" customHeight="false" outlineLevel="0" collapsed="false">
      <c r="A504" s="26" t="n">
        <f aca="false">'Lista de Preços'!$A493</f>
        <v>0</v>
      </c>
      <c r="B504" s="26" t="n">
        <f aca="false">'Lista de Preços'!$B493</f>
        <v>0</v>
      </c>
      <c r="C504" s="27" t="str">
        <f aca="false">IF(COUNTA('Lista de Preços'!$A493:$W493)&gt;0,IF((COUNTBLANK('Lista de Preços'!$A493)+COUNTBLANK('Lista de Preços'!$B493)+COUNTBLANK('Lista de Preços'!$C493)+COUNTBLANK('Lista de Preços'!$D493)+COUNTBLANK('Lista de Preços'!$E493)+COUNTBLANK('Lista de Preços'!$F493)+COUNTBLANK('Lista de Preços'!$L493)+COUNTBLANK('Lista de Preços'!$M493)+COUNTBLANK('Lista de Preços'!$P493)+COUNTBLANK('Lista de Preços'!$U493)+COUNTBLANK('Lista de Preços'!$V493))&gt;0,"ERRO","OK"),"")</f>
        <v/>
      </c>
      <c r="D504" s="27" t="str">
        <f aca="false">IF(COUNTA('Lista de Preços'!$A493:$W493)&gt;0,IF(OR(AND('Lista de Preços'!$L493&lt;&gt;"",NOT(ISNUMBER('Lista de Preços'!$L493))),AND('Lista de Preços'!$M493&lt;&gt;"",NOT(ISNUMBER('Lista de Preços'!$M493)))),"ERRO","OK"),"")</f>
        <v/>
      </c>
      <c r="E504" s="27" t="str">
        <f aca="false">IF(COUNTA('Lista de Preços'!$A493:$W493)&gt;0,IF(AND(ISNUMBER('Lista de Preços'!$L493),ISNUMBER('Lista de Preços'!$M493),'Lista de Preços'!$L493&gt;'Lista de Preços'!$M493),"ERRO","OK"),"")</f>
        <v/>
      </c>
      <c r="F504" s="27" t="str">
        <f aca="true">IF(COUNTA('Lista de Preços'!$A493:$W493)&gt;0,IF(AND('Lista de Preços'!$S493&lt;&gt;"",ISNUMBER('Lista de Preços'!$S493),'Lista de Preços'!$S493&lt;TODAY()),"ERRO","OK"),"")</f>
        <v/>
      </c>
      <c r="G504" s="27" t="str">
        <f aca="false">IF(COUNTA('Lista de Preços'!$A493:$W493)&gt;0,IF(AND('Lista de Preços'!$A493&lt;&gt;"",COUNTIF('Lista de Preços'!$A$4:$A$503,'Lista de Preços'!$A493)&gt;1),"ERRO","OK"),"")</f>
        <v/>
      </c>
      <c r="H504" s="27" t="str">
        <f aca="false">IF(COUNTA('Lista de Preços'!$A493:$W493)&gt;0,IF(AND('Lista de Preços'!$N493&lt;&gt;"",ISNUMBER('Lista de Preços'!$N493),OR('Lista de Preços'!$N493&lt;0,'Lista de Preços'!$N493&gt;0.5)),"ERRO","OK"),"")</f>
        <v/>
      </c>
      <c r="I504" s="27" t="str">
        <f aca="false">IF(COUNTA('Lista de Preços'!$A493:$W493)&gt;0,IF(OR($C504="ERRO",$D504="ERRO",$E504="ERRO",$F504="ERRO",$G504="ERRO",$H504="ERRO"),"FALHA","OK"),"")</f>
        <v/>
      </c>
    </row>
    <row r="505" customFormat="false" ht="15" hidden="false" customHeight="false" outlineLevel="0" collapsed="false">
      <c r="A505" s="26" t="n">
        <f aca="false">'Lista de Preços'!$A494</f>
        <v>0</v>
      </c>
      <c r="B505" s="26" t="n">
        <f aca="false">'Lista de Preços'!$B494</f>
        <v>0</v>
      </c>
      <c r="C505" s="27" t="str">
        <f aca="false">IF(COUNTA('Lista de Preços'!$A494:$W494)&gt;0,IF((COUNTBLANK('Lista de Preços'!$A494)+COUNTBLANK('Lista de Preços'!$B494)+COUNTBLANK('Lista de Preços'!$C494)+COUNTBLANK('Lista de Preços'!$D494)+COUNTBLANK('Lista de Preços'!$E494)+COUNTBLANK('Lista de Preços'!$F494)+COUNTBLANK('Lista de Preços'!$L494)+COUNTBLANK('Lista de Preços'!$M494)+COUNTBLANK('Lista de Preços'!$P494)+COUNTBLANK('Lista de Preços'!$U494)+COUNTBLANK('Lista de Preços'!$V494))&gt;0,"ERRO","OK"),"")</f>
        <v/>
      </c>
      <c r="D505" s="27" t="str">
        <f aca="false">IF(COUNTA('Lista de Preços'!$A494:$W494)&gt;0,IF(OR(AND('Lista de Preços'!$L494&lt;&gt;"",NOT(ISNUMBER('Lista de Preços'!$L494))),AND('Lista de Preços'!$M494&lt;&gt;"",NOT(ISNUMBER('Lista de Preços'!$M494)))),"ERRO","OK"),"")</f>
        <v/>
      </c>
      <c r="E505" s="27" t="str">
        <f aca="false">IF(COUNTA('Lista de Preços'!$A494:$W494)&gt;0,IF(AND(ISNUMBER('Lista de Preços'!$L494),ISNUMBER('Lista de Preços'!$M494),'Lista de Preços'!$L494&gt;'Lista de Preços'!$M494),"ERRO","OK"),"")</f>
        <v/>
      </c>
      <c r="F505" s="27" t="str">
        <f aca="true">IF(COUNTA('Lista de Preços'!$A494:$W494)&gt;0,IF(AND('Lista de Preços'!$S494&lt;&gt;"",ISNUMBER('Lista de Preços'!$S494),'Lista de Preços'!$S494&lt;TODAY()),"ERRO","OK"),"")</f>
        <v/>
      </c>
      <c r="G505" s="27" t="str">
        <f aca="false">IF(COUNTA('Lista de Preços'!$A494:$W494)&gt;0,IF(AND('Lista de Preços'!$A494&lt;&gt;"",COUNTIF('Lista de Preços'!$A$4:$A$503,'Lista de Preços'!$A494)&gt;1),"ERRO","OK"),"")</f>
        <v/>
      </c>
      <c r="H505" s="27" t="str">
        <f aca="false">IF(COUNTA('Lista de Preços'!$A494:$W494)&gt;0,IF(AND('Lista de Preços'!$N494&lt;&gt;"",ISNUMBER('Lista de Preços'!$N494),OR('Lista de Preços'!$N494&lt;0,'Lista de Preços'!$N494&gt;0.5)),"ERRO","OK"),"")</f>
        <v/>
      </c>
      <c r="I505" s="27" t="str">
        <f aca="false">IF(COUNTA('Lista de Preços'!$A494:$W494)&gt;0,IF(OR($C505="ERRO",$D505="ERRO",$E505="ERRO",$F505="ERRO",$G505="ERRO",$H505="ERRO"),"FALHA","OK"),"")</f>
        <v/>
      </c>
    </row>
    <row r="506" customFormat="false" ht="15" hidden="false" customHeight="false" outlineLevel="0" collapsed="false">
      <c r="A506" s="26" t="n">
        <f aca="false">'Lista de Preços'!$A495</f>
        <v>0</v>
      </c>
      <c r="B506" s="26" t="n">
        <f aca="false">'Lista de Preços'!$B495</f>
        <v>0</v>
      </c>
      <c r="C506" s="27" t="str">
        <f aca="false">IF(COUNTA('Lista de Preços'!$A495:$W495)&gt;0,IF((COUNTBLANK('Lista de Preços'!$A495)+COUNTBLANK('Lista de Preços'!$B495)+COUNTBLANK('Lista de Preços'!$C495)+COUNTBLANK('Lista de Preços'!$D495)+COUNTBLANK('Lista de Preços'!$E495)+COUNTBLANK('Lista de Preços'!$F495)+COUNTBLANK('Lista de Preços'!$L495)+COUNTBLANK('Lista de Preços'!$M495)+COUNTBLANK('Lista de Preços'!$P495)+COUNTBLANK('Lista de Preços'!$U495)+COUNTBLANK('Lista de Preços'!$V495))&gt;0,"ERRO","OK"),"")</f>
        <v/>
      </c>
      <c r="D506" s="27" t="str">
        <f aca="false">IF(COUNTA('Lista de Preços'!$A495:$W495)&gt;0,IF(OR(AND('Lista de Preços'!$L495&lt;&gt;"",NOT(ISNUMBER('Lista de Preços'!$L495))),AND('Lista de Preços'!$M495&lt;&gt;"",NOT(ISNUMBER('Lista de Preços'!$M495)))),"ERRO","OK"),"")</f>
        <v/>
      </c>
      <c r="E506" s="27" t="str">
        <f aca="false">IF(COUNTA('Lista de Preços'!$A495:$W495)&gt;0,IF(AND(ISNUMBER('Lista de Preços'!$L495),ISNUMBER('Lista de Preços'!$M495),'Lista de Preços'!$L495&gt;'Lista de Preços'!$M495),"ERRO","OK"),"")</f>
        <v/>
      </c>
      <c r="F506" s="27" t="str">
        <f aca="true">IF(COUNTA('Lista de Preços'!$A495:$W495)&gt;0,IF(AND('Lista de Preços'!$S495&lt;&gt;"",ISNUMBER('Lista de Preços'!$S495),'Lista de Preços'!$S495&lt;TODAY()),"ERRO","OK"),"")</f>
        <v/>
      </c>
      <c r="G506" s="27" t="str">
        <f aca="false">IF(COUNTA('Lista de Preços'!$A495:$W495)&gt;0,IF(AND('Lista de Preços'!$A495&lt;&gt;"",COUNTIF('Lista de Preços'!$A$4:$A$503,'Lista de Preços'!$A495)&gt;1),"ERRO","OK"),"")</f>
        <v/>
      </c>
      <c r="H506" s="27" t="str">
        <f aca="false">IF(COUNTA('Lista de Preços'!$A495:$W495)&gt;0,IF(AND('Lista de Preços'!$N495&lt;&gt;"",ISNUMBER('Lista de Preços'!$N495),OR('Lista de Preços'!$N495&lt;0,'Lista de Preços'!$N495&gt;0.5)),"ERRO","OK"),"")</f>
        <v/>
      </c>
      <c r="I506" s="27" t="str">
        <f aca="false">IF(COUNTA('Lista de Preços'!$A495:$W495)&gt;0,IF(OR($C506="ERRO",$D506="ERRO",$E506="ERRO",$F506="ERRO",$G506="ERRO",$H506="ERRO"),"FALHA","OK"),"")</f>
        <v/>
      </c>
    </row>
    <row r="507" customFormat="false" ht="15" hidden="false" customHeight="false" outlineLevel="0" collapsed="false">
      <c r="A507" s="26" t="n">
        <f aca="false">'Lista de Preços'!$A496</f>
        <v>0</v>
      </c>
      <c r="B507" s="26" t="n">
        <f aca="false">'Lista de Preços'!$B496</f>
        <v>0</v>
      </c>
      <c r="C507" s="27" t="str">
        <f aca="false">IF(COUNTA('Lista de Preços'!$A496:$W496)&gt;0,IF((COUNTBLANK('Lista de Preços'!$A496)+COUNTBLANK('Lista de Preços'!$B496)+COUNTBLANK('Lista de Preços'!$C496)+COUNTBLANK('Lista de Preços'!$D496)+COUNTBLANK('Lista de Preços'!$E496)+COUNTBLANK('Lista de Preços'!$F496)+COUNTBLANK('Lista de Preços'!$L496)+COUNTBLANK('Lista de Preços'!$M496)+COUNTBLANK('Lista de Preços'!$P496)+COUNTBLANK('Lista de Preços'!$U496)+COUNTBLANK('Lista de Preços'!$V496))&gt;0,"ERRO","OK"),"")</f>
        <v/>
      </c>
      <c r="D507" s="27" t="str">
        <f aca="false">IF(COUNTA('Lista de Preços'!$A496:$W496)&gt;0,IF(OR(AND('Lista de Preços'!$L496&lt;&gt;"",NOT(ISNUMBER('Lista de Preços'!$L496))),AND('Lista de Preços'!$M496&lt;&gt;"",NOT(ISNUMBER('Lista de Preços'!$M496)))),"ERRO","OK"),"")</f>
        <v/>
      </c>
      <c r="E507" s="27" t="str">
        <f aca="false">IF(COUNTA('Lista de Preços'!$A496:$W496)&gt;0,IF(AND(ISNUMBER('Lista de Preços'!$L496),ISNUMBER('Lista de Preços'!$M496),'Lista de Preços'!$L496&gt;'Lista de Preços'!$M496),"ERRO","OK"),"")</f>
        <v/>
      </c>
      <c r="F507" s="27" t="str">
        <f aca="true">IF(COUNTA('Lista de Preços'!$A496:$W496)&gt;0,IF(AND('Lista de Preços'!$S496&lt;&gt;"",ISNUMBER('Lista de Preços'!$S496),'Lista de Preços'!$S496&lt;TODAY()),"ERRO","OK"),"")</f>
        <v/>
      </c>
      <c r="G507" s="27" t="str">
        <f aca="false">IF(COUNTA('Lista de Preços'!$A496:$W496)&gt;0,IF(AND('Lista de Preços'!$A496&lt;&gt;"",COUNTIF('Lista de Preços'!$A$4:$A$503,'Lista de Preços'!$A496)&gt;1),"ERRO","OK"),"")</f>
        <v/>
      </c>
      <c r="H507" s="27" t="str">
        <f aca="false">IF(COUNTA('Lista de Preços'!$A496:$W496)&gt;0,IF(AND('Lista de Preços'!$N496&lt;&gt;"",ISNUMBER('Lista de Preços'!$N496),OR('Lista de Preços'!$N496&lt;0,'Lista de Preços'!$N496&gt;0.5)),"ERRO","OK"),"")</f>
        <v/>
      </c>
      <c r="I507" s="27" t="str">
        <f aca="false">IF(COUNTA('Lista de Preços'!$A496:$W496)&gt;0,IF(OR($C507="ERRO",$D507="ERRO",$E507="ERRO",$F507="ERRO",$G507="ERRO",$H507="ERRO"),"FALHA","OK"),"")</f>
        <v/>
      </c>
    </row>
    <row r="508" customFormat="false" ht="15" hidden="false" customHeight="false" outlineLevel="0" collapsed="false">
      <c r="A508" s="26" t="n">
        <f aca="false">'Lista de Preços'!$A497</f>
        <v>0</v>
      </c>
      <c r="B508" s="26" t="n">
        <f aca="false">'Lista de Preços'!$B497</f>
        <v>0</v>
      </c>
      <c r="C508" s="27" t="str">
        <f aca="false">IF(COUNTA('Lista de Preços'!$A497:$W497)&gt;0,IF((COUNTBLANK('Lista de Preços'!$A497)+COUNTBLANK('Lista de Preços'!$B497)+COUNTBLANK('Lista de Preços'!$C497)+COUNTBLANK('Lista de Preços'!$D497)+COUNTBLANK('Lista de Preços'!$E497)+COUNTBLANK('Lista de Preços'!$F497)+COUNTBLANK('Lista de Preços'!$L497)+COUNTBLANK('Lista de Preços'!$M497)+COUNTBLANK('Lista de Preços'!$P497)+COUNTBLANK('Lista de Preços'!$U497)+COUNTBLANK('Lista de Preços'!$V497))&gt;0,"ERRO","OK"),"")</f>
        <v/>
      </c>
      <c r="D508" s="27" t="str">
        <f aca="false">IF(COUNTA('Lista de Preços'!$A497:$W497)&gt;0,IF(OR(AND('Lista de Preços'!$L497&lt;&gt;"",NOT(ISNUMBER('Lista de Preços'!$L497))),AND('Lista de Preços'!$M497&lt;&gt;"",NOT(ISNUMBER('Lista de Preços'!$M497)))),"ERRO","OK"),"")</f>
        <v/>
      </c>
      <c r="E508" s="27" t="str">
        <f aca="false">IF(COUNTA('Lista de Preços'!$A497:$W497)&gt;0,IF(AND(ISNUMBER('Lista de Preços'!$L497),ISNUMBER('Lista de Preços'!$M497),'Lista de Preços'!$L497&gt;'Lista de Preços'!$M497),"ERRO","OK"),"")</f>
        <v/>
      </c>
      <c r="F508" s="27" t="str">
        <f aca="true">IF(COUNTA('Lista de Preços'!$A497:$W497)&gt;0,IF(AND('Lista de Preços'!$S497&lt;&gt;"",ISNUMBER('Lista de Preços'!$S497),'Lista de Preços'!$S497&lt;TODAY()),"ERRO","OK"),"")</f>
        <v/>
      </c>
      <c r="G508" s="27" t="str">
        <f aca="false">IF(COUNTA('Lista de Preços'!$A497:$W497)&gt;0,IF(AND('Lista de Preços'!$A497&lt;&gt;"",COUNTIF('Lista de Preços'!$A$4:$A$503,'Lista de Preços'!$A497)&gt;1),"ERRO","OK"),"")</f>
        <v/>
      </c>
      <c r="H508" s="27" t="str">
        <f aca="false">IF(COUNTA('Lista de Preços'!$A497:$W497)&gt;0,IF(AND('Lista de Preços'!$N497&lt;&gt;"",ISNUMBER('Lista de Preços'!$N497),OR('Lista de Preços'!$N497&lt;0,'Lista de Preços'!$N497&gt;0.5)),"ERRO","OK"),"")</f>
        <v/>
      </c>
      <c r="I508" s="27" t="str">
        <f aca="false">IF(COUNTA('Lista de Preços'!$A497:$W497)&gt;0,IF(OR($C508="ERRO",$D508="ERRO",$E508="ERRO",$F508="ERRO",$G508="ERRO",$H508="ERRO"),"FALHA","OK"),"")</f>
        <v/>
      </c>
    </row>
    <row r="509" customFormat="false" ht="15" hidden="false" customHeight="false" outlineLevel="0" collapsed="false">
      <c r="A509" s="26" t="n">
        <f aca="false">'Lista de Preços'!$A498</f>
        <v>0</v>
      </c>
      <c r="B509" s="26" t="n">
        <f aca="false">'Lista de Preços'!$B498</f>
        <v>0</v>
      </c>
      <c r="C509" s="27" t="str">
        <f aca="false">IF(COUNTA('Lista de Preços'!$A498:$W498)&gt;0,IF((COUNTBLANK('Lista de Preços'!$A498)+COUNTBLANK('Lista de Preços'!$B498)+COUNTBLANK('Lista de Preços'!$C498)+COUNTBLANK('Lista de Preços'!$D498)+COUNTBLANK('Lista de Preços'!$E498)+COUNTBLANK('Lista de Preços'!$F498)+COUNTBLANK('Lista de Preços'!$L498)+COUNTBLANK('Lista de Preços'!$M498)+COUNTBLANK('Lista de Preços'!$P498)+COUNTBLANK('Lista de Preços'!$U498)+COUNTBLANK('Lista de Preços'!$V498))&gt;0,"ERRO","OK"),"")</f>
        <v/>
      </c>
      <c r="D509" s="27" t="str">
        <f aca="false">IF(COUNTA('Lista de Preços'!$A498:$W498)&gt;0,IF(OR(AND('Lista de Preços'!$L498&lt;&gt;"",NOT(ISNUMBER('Lista de Preços'!$L498))),AND('Lista de Preços'!$M498&lt;&gt;"",NOT(ISNUMBER('Lista de Preços'!$M498)))),"ERRO","OK"),"")</f>
        <v/>
      </c>
      <c r="E509" s="27" t="str">
        <f aca="false">IF(COUNTA('Lista de Preços'!$A498:$W498)&gt;0,IF(AND(ISNUMBER('Lista de Preços'!$L498),ISNUMBER('Lista de Preços'!$M498),'Lista de Preços'!$L498&gt;'Lista de Preços'!$M498),"ERRO","OK"),"")</f>
        <v/>
      </c>
      <c r="F509" s="27" t="str">
        <f aca="true">IF(COUNTA('Lista de Preços'!$A498:$W498)&gt;0,IF(AND('Lista de Preços'!$S498&lt;&gt;"",ISNUMBER('Lista de Preços'!$S498),'Lista de Preços'!$S498&lt;TODAY()),"ERRO","OK"),"")</f>
        <v/>
      </c>
      <c r="G509" s="27" t="str">
        <f aca="false">IF(COUNTA('Lista de Preços'!$A498:$W498)&gt;0,IF(AND('Lista de Preços'!$A498&lt;&gt;"",COUNTIF('Lista de Preços'!$A$4:$A$503,'Lista de Preços'!$A498)&gt;1),"ERRO","OK"),"")</f>
        <v/>
      </c>
      <c r="H509" s="27" t="str">
        <f aca="false">IF(COUNTA('Lista de Preços'!$A498:$W498)&gt;0,IF(AND('Lista de Preços'!$N498&lt;&gt;"",ISNUMBER('Lista de Preços'!$N498),OR('Lista de Preços'!$N498&lt;0,'Lista de Preços'!$N498&gt;0.5)),"ERRO","OK"),"")</f>
        <v/>
      </c>
      <c r="I509" s="27" t="str">
        <f aca="false">IF(COUNTA('Lista de Preços'!$A498:$W498)&gt;0,IF(OR($C509="ERRO",$D509="ERRO",$E509="ERRO",$F509="ERRO",$G509="ERRO",$H509="ERRO"),"FALHA","OK"),"")</f>
        <v/>
      </c>
    </row>
    <row r="510" customFormat="false" ht="15" hidden="false" customHeight="false" outlineLevel="0" collapsed="false">
      <c r="A510" s="26" t="n">
        <f aca="false">'Lista de Preços'!$A499</f>
        <v>0</v>
      </c>
      <c r="B510" s="26" t="n">
        <f aca="false">'Lista de Preços'!$B499</f>
        <v>0</v>
      </c>
      <c r="C510" s="27" t="str">
        <f aca="false">IF(COUNTA('Lista de Preços'!$A499:$W499)&gt;0,IF((COUNTBLANK('Lista de Preços'!$A499)+COUNTBLANK('Lista de Preços'!$B499)+COUNTBLANK('Lista de Preços'!$C499)+COUNTBLANK('Lista de Preços'!$D499)+COUNTBLANK('Lista de Preços'!$E499)+COUNTBLANK('Lista de Preços'!$F499)+COUNTBLANK('Lista de Preços'!$L499)+COUNTBLANK('Lista de Preços'!$M499)+COUNTBLANK('Lista de Preços'!$P499)+COUNTBLANK('Lista de Preços'!$U499)+COUNTBLANK('Lista de Preços'!$V499))&gt;0,"ERRO","OK"),"")</f>
        <v/>
      </c>
      <c r="D510" s="27" t="str">
        <f aca="false">IF(COUNTA('Lista de Preços'!$A499:$W499)&gt;0,IF(OR(AND('Lista de Preços'!$L499&lt;&gt;"",NOT(ISNUMBER('Lista de Preços'!$L499))),AND('Lista de Preços'!$M499&lt;&gt;"",NOT(ISNUMBER('Lista de Preços'!$M499)))),"ERRO","OK"),"")</f>
        <v/>
      </c>
      <c r="E510" s="27" t="str">
        <f aca="false">IF(COUNTA('Lista de Preços'!$A499:$W499)&gt;0,IF(AND(ISNUMBER('Lista de Preços'!$L499),ISNUMBER('Lista de Preços'!$M499),'Lista de Preços'!$L499&gt;'Lista de Preços'!$M499),"ERRO","OK"),"")</f>
        <v/>
      </c>
      <c r="F510" s="27" t="str">
        <f aca="true">IF(COUNTA('Lista de Preços'!$A499:$W499)&gt;0,IF(AND('Lista de Preços'!$S499&lt;&gt;"",ISNUMBER('Lista de Preços'!$S499),'Lista de Preços'!$S499&lt;TODAY()),"ERRO","OK"),"")</f>
        <v/>
      </c>
      <c r="G510" s="27" t="str">
        <f aca="false">IF(COUNTA('Lista de Preços'!$A499:$W499)&gt;0,IF(AND('Lista de Preços'!$A499&lt;&gt;"",COUNTIF('Lista de Preços'!$A$4:$A$503,'Lista de Preços'!$A499)&gt;1),"ERRO","OK"),"")</f>
        <v/>
      </c>
      <c r="H510" s="27" t="str">
        <f aca="false">IF(COUNTA('Lista de Preços'!$A499:$W499)&gt;0,IF(AND('Lista de Preços'!$N499&lt;&gt;"",ISNUMBER('Lista de Preços'!$N499),OR('Lista de Preços'!$N499&lt;0,'Lista de Preços'!$N499&gt;0.5)),"ERRO","OK"),"")</f>
        <v/>
      </c>
      <c r="I510" s="27" t="str">
        <f aca="false">IF(COUNTA('Lista de Preços'!$A499:$W499)&gt;0,IF(OR($C510="ERRO",$D510="ERRO",$E510="ERRO",$F510="ERRO",$G510="ERRO",$H510="ERRO"),"FALHA","OK"),"")</f>
        <v/>
      </c>
    </row>
    <row r="511" customFormat="false" ht="15" hidden="false" customHeight="false" outlineLevel="0" collapsed="false">
      <c r="A511" s="26" t="n">
        <f aca="false">'Lista de Preços'!$A500</f>
        <v>0</v>
      </c>
      <c r="B511" s="26" t="n">
        <f aca="false">'Lista de Preços'!$B500</f>
        <v>0</v>
      </c>
      <c r="C511" s="27" t="str">
        <f aca="false">IF(COUNTA('Lista de Preços'!$A500:$W500)&gt;0,IF((COUNTBLANK('Lista de Preços'!$A500)+COUNTBLANK('Lista de Preços'!$B500)+COUNTBLANK('Lista de Preços'!$C500)+COUNTBLANK('Lista de Preços'!$D500)+COUNTBLANK('Lista de Preços'!$E500)+COUNTBLANK('Lista de Preços'!$F500)+COUNTBLANK('Lista de Preços'!$L500)+COUNTBLANK('Lista de Preços'!$M500)+COUNTBLANK('Lista de Preços'!$P500)+COUNTBLANK('Lista de Preços'!$U500)+COUNTBLANK('Lista de Preços'!$V500))&gt;0,"ERRO","OK"),"")</f>
        <v/>
      </c>
      <c r="D511" s="27" t="str">
        <f aca="false">IF(COUNTA('Lista de Preços'!$A500:$W500)&gt;0,IF(OR(AND('Lista de Preços'!$L500&lt;&gt;"",NOT(ISNUMBER('Lista de Preços'!$L500))),AND('Lista de Preços'!$M500&lt;&gt;"",NOT(ISNUMBER('Lista de Preços'!$M500)))),"ERRO","OK"),"")</f>
        <v/>
      </c>
      <c r="E511" s="27" t="str">
        <f aca="false">IF(COUNTA('Lista de Preços'!$A500:$W500)&gt;0,IF(AND(ISNUMBER('Lista de Preços'!$L500),ISNUMBER('Lista de Preços'!$M500),'Lista de Preços'!$L500&gt;'Lista de Preços'!$M500),"ERRO","OK"),"")</f>
        <v/>
      </c>
      <c r="F511" s="27" t="str">
        <f aca="true">IF(COUNTA('Lista de Preços'!$A500:$W500)&gt;0,IF(AND('Lista de Preços'!$S500&lt;&gt;"",ISNUMBER('Lista de Preços'!$S500),'Lista de Preços'!$S500&lt;TODAY()),"ERRO","OK"),"")</f>
        <v/>
      </c>
      <c r="G511" s="27" t="str">
        <f aca="false">IF(COUNTA('Lista de Preços'!$A500:$W500)&gt;0,IF(AND('Lista de Preços'!$A500&lt;&gt;"",COUNTIF('Lista de Preços'!$A$4:$A$503,'Lista de Preços'!$A500)&gt;1),"ERRO","OK"),"")</f>
        <v/>
      </c>
      <c r="H511" s="27" t="str">
        <f aca="false">IF(COUNTA('Lista de Preços'!$A500:$W500)&gt;0,IF(AND('Lista de Preços'!$N500&lt;&gt;"",ISNUMBER('Lista de Preços'!$N500),OR('Lista de Preços'!$N500&lt;0,'Lista de Preços'!$N500&gt;0.5)),"ERRO","OK"),"")</f>
        <v/>
      </c>
      <c r="I511" s="27" t="str">
        <f aca="false">IF(COUNTA('Lista de Preços'!$A500:$W500)&gt;0,IF(OR($C511="ERRO",$D511="ERRO",$E511="ERRO",$F511="ERRO",$G511="ERRO",$H511="ERRO"),"FALHA","OK"),"")</f>
        <v/>
      </c>
    </row>
    <row r="512" customFormat="false" ht="15" hidden="false" customHeight="false" outlineLevel="0" collapsed="false">
      <c r="A512" s="26" t="n">
        <f aca="false">'Lista de Preços'!$A501</f>
        <v>0</v>
      </c>
      <c r="B512" s="26" t="n">
        <f aca="false">'Lista de Preços'!$B501</f>
        <v>0</v>
      </c>
      <c r="C512" s="27" t="str">
        <f aca="false">IF(COUNTA('Lista de Preços'!$A501:$W501)&gt;0,IF((COUNTBLANK('Lista de Preços'!$A501)+COUNTBLANK('Lista de Preços'!$B501)+COUNTBLANK('Lista de Preços'!$C501)+COUNTBLANK('Lista de Preços'!$D501)+COUNTBLANK('Lista de Preços'!$E501)+COUNTBLANK('Lista de Preços'!$F501)+COUNTBLANK('Lista de Preços'!$L501)+COUNTBLANK('Lista de Preços'!$M501)+COUNTBLANK('Lista de Preços'!$P501)+COUNTBLANK('Lista de Preços'!$U501)+COUNTBLANK('Lista de Preços'!$V501))&gt;0,"ERRO","OK"),"")</f>
        <v/>
      </c>
      <c r="D512" s="27" t="str">
        <f aca="false">IF(COUNTA('Lista de Preços'!$A501:$W501)&gt;0,IF(OR(AND('Lista de Preços'!$L501&lt;&gt;"",NOT(ISNUMBER('Lista de Preços'!$L501))),AND('Lista de Preços'!$M501&lt;&gt;"",NOT(ISNUMBER('Lista de Preços'!$M501)))),"ERRO","OK"),"")</f>
        <v/>
      </c>
      <c r="E512" s="27" t="str">
        <f aca="false">IF(COUNTA('Lista de Preços'!$A501:$W501)&gt;0,IF(AND(ISNUMBER('Lista de Preços'!$L501),ISNUMBER('Lista de Preços'!$M501),'Lista de Preços'!$L501&gt;'Lista de Preços'!$M501),"ERRO","OK"),"")</f>
        <v/>
      </c>
      <c r="F512" s="27" t="str">
        <f aca="true">IF(COUNTA('Lista de Preços'!$A501:$W501)&gt;0,IF(AND('Lista de Preços'!$S501&lt;&gt;"",ISNUMBER('Lista de Preços'!$S501),'Lista de Preços'!$S501&lt;TODAY()),"ERRO","OK"),"")</f>
        <v/>
      </c>
      <c r="G512" s="27" t="str">
        <f aca="false">IF(COUNTA('Lista de Preços'!$A501:$W501)&gt;0,IF(AND('Lista de Preços'!$A501&lt;&gt;"",COUNTIF('Lista de Preços'!$A$4:$A$503,'Lista de Preços'!$A501)&gt;1),"ERRO","OK"),"")</f>
        <v/>
      </c>
      <c r="H512" s="27" t="str">
        <f aca="false">IF(COUNTA('Lista de Preços'!$A501:$W501)&gt;0,IF(AND('Lista de Preços'!$N501&lt;&gt;"",ISNUMBER('Lista de Preços'!$N501),OR('Lista de Preços'!$N501&lt;0,'Lista de Preços'!$N501&gt;0.5)),"ERRO","OK"),"")</f>
        <v/>
      </c>
      <c r="I512" s="27" t="str">
        <f aca="false">IF(COUNTA('Lista de Preços'!$A501:$W501)&gt;0,IF(OR($C512="ERRO",$D512="ERRO",$E512="ERRO",$F512="ERRO",$G512="ERRO",$H512="ERRO"),"FALHA","OK"),"")</f>
        <v/>
      </c>
    </row>
    <row r="513" customFormat="false" ht="15" hidden="false" customHeight="false" outlineLevel="0" collapsed="false">
      <c r="A513" s="26" t="n">
        <f aca="false">'Lista de Preços'!$A502</f>
        <v>0</v>
      </c>
      <c r="B513" s="26" t="n">
        <f aca="false">'Lista de Preços'!$B502</f>
        <v>0</v>
      </c>
      <c r="C513" s="27" t="str">
        <f aca="false">IF(COUNTA('Lista de Preços'!$A502:$W502)&gt;0,IF((COUNTBLANK('Lista de Preços'!$A502)+COUNTBLANK('Lista de Preços'!$B502)+COUNTBLANK('Lista de Preços'!$C502)+COUNTBLANK('Lista de Preços'!$D502)+COUNTBLANK('Lista de Preços'!$E502)+COUNTBLANK('Lista de Preços'!$F502)+COUNTBLANK('Lista de Preços'!$L502)+COUNTBLANK('Lista de Preços'!$M502)+COUNTBLANK('Lista de Preços'!$P502)+COUNTBLANK('Lista de Preços'!$U502)+COUNTBLANK('Lista de Preços'!$V502))&gt;0,"ERRO","OK"),"")</f>
        <v/>
      </c>
      <c r="D513" s="27" t="str">
        <f aca="false">IF(COUNTA('Lista de Preços'!$A502:$W502)&gt;0,IF(OR(AND('Lista de Preços'!$L502&lt;&gt;"",NOT(ISNUMBER('Lista de Preços'!$L502))),AND('Lista de Preços'!$M502&lt;&gt;"",NOT(ISNUMBER('Lista de Preços'!$M502)))),"ERRO","OK"),"")</f>
        <v/>
      </c>
      <c r="E513" s="27" t="str">
        <f aca="false">IF(COUNTA('Lista de Preços'!$A502:$W502)&gt;0,IF(AND(ISNUMBER('Lista de Preços'!$L502),ISNUMBER('Lista de Preços'!$M502),'Lista de Preços'!$L502&gt;'Lista de Preços'!$M502),"ERRO","OK"),"")</f>
        <v/>
      </c>
      <c r="F513" s="27" t="str">
        <f aca="true">IF(COUNTA('Lista de Preços'!$A502:$W502)&gt;0,IF(AND('Lista de Preços'!$S502&lt;&gt;"",ISNUMBER('Lista de Preços'!$S502),'Lista de Preços'!$S502&lt;TODAY()),"ERRO","OK"),"")</f>
        <v/>
      </c>
      <c r="G513" s="27" t="str">
        <f aca="false">IF(COUNTA('Lista de Preços'!$A502:$W502)&gt;0,IF(AND('Lista de Preços'!$A502&lt;&gt;"",COUNTIF('Lista de Preços'!$A$4:$A$503,'Lista de Preços'!$A502)&gt;1),"ERRO","OK"),"")</f>
        <v/>
      </c>
      <c r="H513" s="27" t="str">
        <f aca="false">IF(COUNTA('Lista de Preços'!$A502:$W502)&gt;0,IF(AND('Lista de Preços'!$N502&lt;&gt;"",ISNUMBER('Lista de Preços'!$N502),OR('Lista de Preços'!$N502&lt;0,'Lista de Preços'!$N502&gt;0.5)),"ERRO","OK"),"")</f>
        <v/>
      </c>
      <c r="I513" s="27" t="str">
        <f aca="false">IF(COUNTA('Lista de Preços'!$A502:$W502)&gt;0,IF(OR($C513="ERRO",$D513="ERRO",$E513="ERRO",$F513="ERRO",$G513="ERRO",$H513="ERRO"),"FALHA","OK"),"")</f>
        <v/>
      </c>
    </row>
    <row r="514" customFormat="false" ht="15" hidden="false" customHeight="false" outlineLevel="0" collapsed="false">
      <c r="A514" s="26" t="n">
        <f aca="false">'Lista de Preços'!$A503</f>
        <v>0</v>
      </c>
      <c r="B514" s="26" t="n">
        <f aca="false">'Lista de Preços'!$B503</f>
        <v>0</v>
      </c>
      <c r="C514" s="27" t="str">
        <f aca="false">IF(COUNTA('Lista de Preços'!$A503:$W503)&gt;0,IF((COUNTBLANK('Lista de Preços'!$A503)+COUNTBLANK('Lista de Preços'!$B503)+COUNTBLANK('Lista de Preços'!$C503)+COUNTBLANK('Lista de Preços'!$D503)+COUNTBLANK('Lista de Preços'!$E503)+COUNTBLANK('Lista de Preços'!$F503)+COUNTBLANK('Lista de Preços'!$L503)+COUNTBLANK('Lista de Preços'!$M503)+COUNTBLANK('Lista de Preços'!$P503)+COUNTBLANK('Lista de Preços'!$U503)+COUNTBLANK('Lista de Preços'!$V503))&gt;0,"ERRO","OK"),"")</f>
        <v/>
      </c>
      <c r="D514" s="27" t="str">
        <f aca="false">IF(COUNTA('Lista de Preços'!$A503:$W503)&gt;0,IF(OR(AND('Lista de Preços'!$L503&lt;&gt;"",NOT(ISNUMBER('Lista de Preços'!$L503))),AND('Lista de Preços'!$M503&lt;&gt;"",NOT(ISNUMBER('Lista de Preços'!$M503)))),"ERRO","OK"),"")</f>
        <v/>
      </c>
      <c r="E514" s="27" t="str">
        <f aca="false">IF(COUNTA('Lista de Preços'!$A503:$W503)&gt;0,IF(AND(ISNUMBER('Lista de Preços'!$L503),ISNUMBER('Lista de Preços'!$M503),'Lista de Preços'!$L503&gt;'Lista de Preços'!$M503),"ERRO","OK"),"")</f>
        <v/>
      </c>
      <c r="F514" s="27" t="str">
        <f aca="true">IF(COUNTA('Lista de Preços'!$A503:$W503)&gt;0,IF(AND('Lista de Preços'!$S503&lt;&gt;"",ISNUMBER('Lista de Preços'!$S503),'Lista de Preços'!$S503&lt;TODAY()),"ERRO","OK"),"")</f>
        <v/>
      </c>
      <c r="G514" s="27" t="str">
        <f aca="false">IF(COUNTA('Lista de Preços'!$A503:$W503)&gt;0,IF(AND('Lista de Preços'!$A503&lt;&gt;"",COUNTIF('Lista de Preços'!$A$4:$A$503,'Lista de Preços'!$A503)&gt;1),"ERRO","OK"),"")</f>
        <v/>
      </c>
      <c r="H514" s="27" t="str">
        <f aca="false">IF(COUNTA('Lista de Preços'!$A503:$W503)&gt;0,IF(AND('Lista de Preços'!$N503&lt;&gt;"",ISNUMBER('Lista de Preços'!$N503),OR('Lista de Preços'!$N503&lt;0,'Lista de Preços'!$N503&gt;0.5)),"ERRO","OK"),"")</f>
        <v/>
      </c>
      <c r="I514" s="27" t="str">
        <f aca="false">IF(COUNTA('Lista de Preços'!$A503:$W503)&gt;0,IF(OR($C514="ERRO",$D514="ERRO",$E514="ERRO",$F514="ERRO",$G514="ERRO",$H514="ERRO"),"FALHA","OK"),"")</f>
        <v/>
      </c>
    </row>
  </sheetData>
  <mergeCells count="1">
    <mergeCell ref="A1:C1"/>
  </mergeCells>
  <conditionalFormatting sqref="B12">
    <cfRule type="expression" priority="2" aboveAverage="0" equalAverage="0" bottom="0" percent="0" rank="0" text="" dxfId="1">
      <formula>B12=0</formula>
    </cfRule>
    <cfRule type="expression" priority="3" aboveAverage="0" equalAverage="0" bottom="0" percent="0" rank="0" text="" dxfId="0">
      <formula>B12&gt;0</formula>
    </cfRule>
  </conditionalFormatting>
  <conditionalFormatting sqref="B5">
    <cfRule type="expression" priority="4" aboveAverage="0" equalAverage="0" bottom="0" percent="0" rank="0" text="" dxfId="0">
      <formula>B5&gt;0</formula>
    </cfRule>
    <cfRule type="expression" priority="5" aboveAverage="0" equalAverage="0" bottom="0" percent="0" rank="0" text="" dxfId="1">
      <formula>B5=0</formula>
    </cfRule>
  </conditionalFormatting>
  <conditionalFormatting sqref="B6">
    <cfRule type="expression" priority="6" aboveAverage="0" equalAverage="0" bottom="0" percent="0" rank="0" text="" dxfId="0">
      <formula>B6&gt;0</formula>
    </cfRule>
    <cfRule type="expression" priority="7" aboveAverage="0" equalAverage="0" bottom="0" percent="0" rank="0" text="" dxfId="1">
      <formula>B6=0</formula>
    </cfRule>
  </conditionalFormatting>
  <conditionalFormatting sqref="B7">
    <cfRule type="expression" priority="8" aboveAverage="0" equalAverage="0" bottom="0" percent="0" rank="0" text="" dxfId="0">
      <formula>B7&gt;0</formula>
    </cfRule>
    <cfRule type="expression" priority="9" aboveAverage="0" equalAverage="0" bottom="0" percent="0" rank="0" text="" dxfId="1">
      <formula>B7=0</formula>
    </cfRule>
  </conditionalFormatting>
  <conditionalFormatting sqref="B8">
    <cfRule type="expression" priority="10" aboveAverage="0" equalAverage="0" bottom="0" percent="0" rank="0" text="" dxfId="0">
      <formula>B8&gt;0</formula>
    </cfRule>
    <cfRule type="expression" priority="11" aboveAverage="0" equalAverage="0" bottom="0" percent="0" rank="0" text="" dxfId="1">
      <formula>B8=0</formula>
    </cfRule>
  </conditionalFormatting>
  <conditionalFormatting sqref="B9">
    <cfRule type="expression" priority="12" aboveAverage="0" equalAverage="0" bottom="0" percent="0" rank="0" text="" dxfId="0">
      <formula>B9&gt;0</formula>
    </cfRule>
    <cfRule type="expression" priority="13" aboveAverage="0" equalAverage="0" bottom="0" percent="0" rank="0" text="" dxfId="1">
      <formula>B9=0</formula>
    </cfRule>
  </conditionalFormatting>
  <conditionalFormatting sqref="B10">
    <cfRule type="expression" priority="14" aboveAverage="0" equalAverage="0" bottom="0" percent="0" rank="0" text="" dxfId="0">
      <formula>B10&gt;0</formula>
    </cfRule>
    <cfRule type="expression" priority="15" aboveAverage="0" equalAverage="0" bottom="0" percent="0" rank="0" text="" dxfId="1">
      <formula>B10=0</formula>
    </cfRule>
  </conditionalFormatting>
  <conditionalFormatting sqref="C15:H514">
    <cfRule type="expression" priority="16" aboveAverage="0" equalAverage="0" bottom="0" percent="0" rank="0" text="" dxfId="0">
      <formula>C15="ERRO"</formula>
    </cfRule>
  </conditionalFormatting>
  <conditionalFormatting sqref="I15:I514">
    <cfRule type="expression" priority="17" aboveAverage="0" equalAverage="0" bottom="0" percent="0" rank="0" text="" dxfId="0">
      <formula>I15="FALHA"</formula>
    </cfRule>
    <cfRule type="expression" priority="18" aboveAverage="0" equalAverage="0" bottom="0" percent="0" rank="0" text="" dxfId="1">
      <formula>I15="OK"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55"/>
    <col collapsed="false" customWidth="true" hidden="false" outlineLevel="0" max="7" min="7" style="1" width="20"/>
  </cols>
  <sheetData>
    <row r="1" customFormat="false" ht="24" hidden="false" customHeight="true" outlineLevel="0" collapsed="false">
      <c r="A1" s="6" t="s">
        <v>130</v>
      </c>
      <c r="B1" s="6" t="s">
        <v>131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</row>
    <row r="2" customFormat="false" ht="35.05" hidden="false" customHeight="false" outlineLevel="0" collapsed="false">
      <c r="A2" s="14" t="s">
        <v>137</v>
      </c>
      <c r="B2" s="14" t="s">
        <v>58</v>
      </c>
      <c r="C2" s="28" t="s">
        <v>138</v>
      </c>
      <c r="D2" s="14" t="s">
        <v>139</v>
      </c>
      <c r="E2" s="29" t="s">
        <v>140</v>
      </c>
      <c r="F2" s="30" t="s">
        <v>141</v>
      </c>
      <c r="G2" s="14" t="s">
        <v>82</v>
      </c>
    </row>
    <row r="3" customFormat="false" ht="15" hidden="false" customHeight="false" outlineLevel="0" collapsed="false">
      <c r="A3" s="14" t="s">
        <v>142</v>
      </c>
      <c r="B3" s="14" t="s">
        <v>59</v>
      </c>
      <c r="C3" s="28" t="s">
        <v>143</v>
      </c>
      <c r="D3" s="14" t="s">
        <v>139</v>
      </c>
      <c r="E3" s="29" t="s">
        <v>140</v>
      </c>
      <c r="F3" s="30" t="s">
        <v>144</v>
      </c>
      <c r="G3" s="14" t="s">
        <v>83</v>
      </c>
    </row>
    <row r="4" customFormat="false" ht="23.85" hidden="false" customHeight="false" outlineLevel="0" collapsed="false">
      <c r="A4" s="14" t="s">
        <v>145</v>
      </c>
      <c r="B4" s="14" t="s">
        <v>60</v>
      </c>
      <c r="C4" s="28" t="s">
        <v>146</v>
      </c>
      <c r="D4" s="14" t="s">
        <v>139</v>
      </c>
      <c r="E4" s="29" t="s">
        <v>140</v>
      </c>
      <c r="F4" s="30" t="s">
        <v>147</v>
      </c>
      <c r="G4" s="14" t="s">
        <v>84</v>
      </c>
    </row>
    <row r="5" customFormat="false" ht="35.05" hidden="false" customHeight="false" outlineLevel="0" collapsed="false">
      <c r="A5" s="14" t="s">
        <v>148</v>
      </c>
      <c r="B5" s="14" t="s">
        <v>61</v>
      </c>
      <c r="C5" s="28" t="s">
        <v>149</v>
      </c>
      <c r="D5" s="14" t="s">
        <v>150</v>
      </c>
      <c r="E5" s="29" t="s">
        <v>140</v>
      </c>
      <c r="F5" s="30" t="s">
        <v>151</v>
      </c>
      <c r="G5" s="14" t="s">
        <v>85</v>
      </c>
    </row>
    <row r="6" customFormat="false" ht="15" hidden="false" customHeight="false" outlineLevel="0" collapsed="false">
      <c r="A6" s="14" t="s">
        <v>152</v>
      </c>
      <c r="B6" s="14" t="s">
        <v>62</v>
      </c>
      <c r="C6" s="28" t="s">
        <v>153</v>
      </c>
      <c r="D6" s="14" t="s">
        <v>139</v>
      </c>
      <c r="E6" s="29" t="s">
        <v>140</v>
      </c>
      <c r="F6" s="30" t="s">
        <v>154</v>
      </c>
      <c r="G6" s="14" t="s">
        <v>86</v>
      </c>
    </row>
    <row r="7" customFormat="false" ht="23.85" hidden="false" customHeight="false" outlineLevel="0" collapsed="false">
      <c r="A7" s="14" t="s">
        <v>155</v>
      </c>
      <c r="B7" s="14" t="s">
        <v>63</v>
      </c>
      <c r="C7" s="28" t="s">
        <v>156</v>
      </c>
      <c r="D7" s="14" t="s">
        <v>157</v>
      </c>
      <c r="E7" s="29" t="s">
        <v>140</v>
      </c>
      <c r="F7" s="30" t="s">
        <v>158</v>
      </c>
      <c r="G7" s="14" t="s">
        <v>159</v>
      </c>
    </row>
    <row r="8" customFormat="false" ht="35.05" hidden="false" customHeight="false" outlineLevel="0" collapsed="false">
      <c r="A8" s="14" t="s">
        <v>40</v>
      </c>
      <c r="B8" s="14" t="s">
        <v>64</v>
      </c>
      <c r="C8" s="28" t="s">
        <v>160</v>
      </c>
      <c r="D8" s="14" t="s">
        <v>150</v>
      </c>
      <c r="E8" s="31" t="s">
        <v>161</v>
      </c>
      <c r="F8" s="30" t="s">
        <v>162</v>
      </c>
      <c r="G8" s="14" t="s">
        <v>87</v>
      </c>
    </row>
    <row r="9" customFormat="false" ht="23.85" hidden="false" customHeight="false" outlineLevel="0" collapsed="false">
      <c r="A9" s="14" t="s">
        <v>41</v>
      </c>
      <c r="B9" s="14" t="s">
        <v>65</v>
      </c>
      <c r="C9" s="28" t="s">
        <v>163</v>
      </c>
      <c r="D9" s="14" t="s">
        <v>139</v>
      </c>
      <c r="E9" s="31" t="s">
        <v>161</v>
      </c>
      <c r="F9" s="30" t="s">
        <v>164</v>
      </c>
      <c r="G9" s="14" t="s">
        <v>88</v>
      </c>
    </row>
    <row r="10" customFormat="false" ht="15" hidden="false" customHeight="false" outlineLevel="0" collapsed="false">
      <c r="A10" s="14" t="s">
        <v>42</v>
      </c>
      <c r="B10" s="14" t="s">
        <v>66</v>
      </c>
      <c r="C10" s="28" t="s">
        <v>165</v>
      </c>
      <c r="D10" s="14" t="s">
        <v>139</v>
      </c>
      <c r="E10" s="31" t="s">
        <v>161</v>
      </c>
      <c r="F10" s="30" t="s">
        <v>166</v>
      </c>
      <c r="G10" s="14" t="s">
        <v>89</v>
      </c>
    </row>
    <row r="11" customFormat="false" ht="23.85" hidden="false" customHeight="false" outlineLevel="0" collapsed="false">
      <c r="A11" s="14" t="s">
        <v>43</v>
      </c>
      <c r="B11" s="14" t="s">
        <v>67</v>
      </c>
      <c r="C11" s="28" t="s">
        <v>167</v>
      </c>
      <c r="D11" s="14" t="s">
        <v>139</v>
      </c>
      <c r="E11" s="31" t="s">
        <v>161</v>
      </c>
      <c r="F11" s="30" t="s">
        <v>168</v>
      </c>
      <c r="G11" s="14" t="s">
        <v>90</v>
      </c>
    </row>
    <row r="12" customFormat="false" ht="15" hidden="false" customHeight="false" outlineLevel="0" collapsed="false">
      <c r="A12" s="14" t="s">
        <v>44</v>
      </c>
      <c r="B12" s="14" t="s">
        <v>68</v>
      </c>
      <c r="C12" s="28" t="s">
        <v>169</v>
      </c>
      <c r="D12" s="14" t="s">
        <v>139</v>
      </c>
      <c r="E12" s="31" t="s">
        <v>161</v>
      </c>
      <c r="F12" s="30" t="s">
        <v>170</v>
      </c>
      <c r="G12" s="14" t="s">
        <v>91</v>
      </c>
    </row>
    <row r="13" customFormat="false" ht="23.85" hidden="false" customHeight="false" outlineLevel="0" collapsed="false">
      <c r="A13" s="14" t="s">
        <v>171</v>
      </c>
      <c r="B13" s="14" t="s">
        <v>69</v>
      </c>
      <c r="C13" s="28" t="s">
        <v>172</v>
      </c>
      <c r="D13" s="14" t="s">
        <v>173</v>
      </c>
      <c r="E13" s="29" t="s">
        <v>140</v>
      </c>
      <c r="F13" s="30" t="s">
        <v>174</v>
      </c>
      <c r="G13" s="14" t="s">
        <v>175</v>
      </c>
    </row>
    <row r="14" customFormat="false" ht="35.05" hidden="false" customHeight="false" outlineLevel="0" collapsed="false">
      <c r="A14" s="14" t="s">
        <v>176</v>
      </c>
      <c r="B14" s="14" t="s">
        <v>70</v>
      </c>
      <c r="C14" s="28" t="s">
        <v>177</v>
      </c>
      <c r="D14" s="14" t="s">
        <v>173</v>
      </c>
      <c r="E14" s="29" t="s">
        <v>140</v>
      </c>
      <c r="F14" s="30" t="s">
        <v>178</v>
      </c>
      <c r="G14" s="14" t="s">
        <v>179</v>
      </c>
    </row>
    <row r="15" customFormat="false" ht="23.85" hidden="false" customHeight="false" outlineLevel="0" collapsed="false">
      <c r="A15" s="14" t="s">
        <v>47</v>
      </c>
      <c r="B15" s="14" t="s">
        <v>71</v>
      </c>
      <c r="C15" s="28" t="s">
        <v>180</v>
      </c>
      <c r="D15" s="14" t="s">
        <v>181</v>
      </c>
      <c r="E15" s="31" t="s">
        <v>161</v>
      </c>
      <c r="F15" s="30" t="s">
        <v>182</v>
      </c>
      <c r="G15" s="14" t="s">
        <v>183</v>
      </c>
    </row>
    <row r="16" customFormat="false" ht="23.85" hidden="false" customHeight="false" outlineLevel="0" collapsed="false">
      <c r="A16" s="14" t="s">
        <v>48</v>
      </c>
      <c r="B16" s="14" t="s">
        <v>72</v>
      </c>
      <c r="C16" s="28" t="s">
        <v>184</v>
      </c>
      <c r="D16" s="14" t="s">
        <v>173</v>
      </c>
      <c r="E16" s="31" t="s">
        <v>161</v>
      </c>
      <c r="F16" s="30" t="s">
        <v>185</v>
      </c>
      <c r="G16" s="14" t="s">
        <v>186</v>
      </c>
    </row>
    <row r="17" customFormat="false" ht="23.85" hidden="false" customHeight="false" outlineLevel="0" collapsed="false">
      <c r="A17" s="14" t="s">
        <v>187</v>
      </c>
      <c r="B17" s="14" t="s">
        <v>73</v>
      </c>
      <c r="C17" s="28" t="s">
        <v>188</v>
      </c>
      <c r="D17" s="14" t="s">
        <v>150</v>
      </c>
      <c r="E17" s="29" t="s">
        <v>140</v>
      </c>
      <c r="F17" s="30" t="s">
        <v>189</v>
      </c>
      <c r="G17" s="14" t="s">
        <v>92</v>
      </c>
    </row>
    <row r="18" customFormat="false" ht="15" hidden="false" customHeight="false" outlineLevel="0" collapsed="false">
      <c r="A18" s="14" t="s">
        <v>50</v>
      </c>
      <c r="B18" s="14" t="s">
        <v>74</v>
      </c>
      <c r="C18" s="28" t="s">
        <v>190</v>
      </c>
      <c r="D18" s="14" t="s">
        <v>157</v>
      </c>
      <c r="E18" s="31" t="s">
        <v>161</v>
      </c>
      <c r="F18" s="30" t="s">
        <v>191</v>
      </c>
      <c r="G18" s="14" t="s">
        <v>192</v>
      </c>
    </row>
    <row r="19" customFormat="false" ht="23.85" hidden="false" customHeight="false" outlineLevel="0" collapsed="false">
      <c r="A19" s="14" t="s">
        <v>51</v>
      </c>
      <c r="B19" s="14" t="s">
        <v>75</v>
      </c>
      <c r="C19" s="28" t="s">
        <v>193</v>
      </c>
      <c r="D19" s="14" t="s">
        <v>139</v>
      </c>
      <c r="E19" s="31" t="s">
        <v>161</v>
      </c>
      <c r="F19" s="30" t="s">
        <v>194</v>
      </c>
      <c r="G19" s="14" t="s">
        <v>93</v>
      </c>
    </row>
    <row r="20" customFormat="false" ht="23.85" hidden="false" customHeight="false" outlineLevel="0" collapsed="false">
      <c r="A20" s="14" t="s">
        <v>52</v>
      </c>
      <c r="B20" s="14" t="s">
        <v>76</v>
      </c>
      <c r="C20" s="28" t="s">
        <v>195</v>
      </c>
      <c r="D20" s="14" t="s">
        <v>196</v>
      </c>
      <c r="E20" s="31" t="s">
        <v>161</v>
      </c>
      <c r="F20" s="30" t="s">
        <v>197</v>
      </c>
      <c r="G20" s="14" t="s">
        <v>198</v>
      </c>
    </row>
    <row r="21" customFormat="false" ht="23.85" hidden="false" customHeight="false" outlineLevel="0" collapsed="false">
      <c r="A21" s="14" t="s">
        <v>53</v>
      </c>
      <c r="B21" s="14" t="s">
        <v>77</v>
      </c>
      <c r="C21" s="28" t="s">
        <v>199</v>
      </c>
      <c r="D21" s="14" t="s">
        <v>157</v>
      </c>
      <c r="E21" s="31" t="s">
        <v>161</v>
      </c>
      <c r="F21" s="30" t="s">
        <v>200</v>
      </c>
      <c r="G21" s="14" t="s">
        <v>201</v>
      </c>
    </row>
    <row r="22" customFormat="false" ht="23.85" hidden="false" customHeight="false" outlineLevel="0" collapsed="false">
      <c r="A22" s="14" t="s">
        <v>202</v>
      </c>
      <c r="B22" s="14" t="s">
        <v>78</v>
      </c>
      <c r="C22" s="28" t="s">
        <v>203</v>
      </c>
      <c r="D22" s="14" t="s">
        <v>150</v>
      </c>
      <c r="E22" s="29" t="s">
        <v>140</v>
      </c>
      <c r="F22" s="30" t="s">
        <v>204</v>
      </c>
      <c r="G22" s="14" t="s">
        <v>94</v>
      </c>
    </row>
    <row r="23" customFormat="false" ht="15" hidden="false" customHeight="false" outlineLevel="0" collapsed="false">
      <c r="A23" s="14" t="s">
        <v>205</v>
      </c>
      <c r="B23" s="14" t="s">
        <v>79</v>
      </c>
      <c r="C23" s="28" t="s">
        <v>206</v>
      </c>
      <c r="D23" s="14" t="s">
        <v>196</v>
      </c>
      <c r="E23" s="29" t="s">
        <v>140</v>
      </c>
      <c r="F23" s="30" t="s">
        <v>207</v>
      </c>
      <c r="G23" s="14" t="s">
        <v>208</v>
      </c>
    </row>
    <row r="24" customFormat="false" ht="15" hidden="false" customHeight="false" outlineLevel="0" collapsed="false">
      <c r="A24" s="14" t="s">
        <v>56</v>
      </c>
      <c r="B24" s="14" t="s">
        <v>80</v>
      </c>
      <c r="C24" s="28" t="s">
        <v>209</v>
      </c>
      <c r="D24" s="14" t="s">
        <v>139</v>
      </c>
      <c r="E24" s="31" t="s">
        <v>161</v>
      </c>
      <c r="F24" s="30" t="s">
        <v>210</v>
      </c>
      <c r="G24" s="14" t="s">
        <v>95</v>
      </c>
    </row>
    <row r="26" customFormat="false" ht="30" hidden="false" customHeight="true" outlineLevel="0" collapsed="false">
      <c r="A26" s="32" t="s">
        <v>211</v>
      </c>
      <c r="B26" s="32"/>
      <c r="C26" s="32"/>
      <c r="D26" s="32"/>
      <c r="E26" s="32"/>
      <c r="F26" s="32"/>
      <c r="G26" s="32"/>
    </row>
  </sheetData>
  <mergeCells count="1"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2026-09-13T15:34:21Z</dcterms:created>
  <dc:creator>openpyxl</dc:creator>
  <dc:description/>
  <dc:language>en-US</dc:language>
  <cp:lastModifiedBy/>
  <dcterms:modified xsi:type="dcterms:W3CDTF">2026-09-13T15:34:21Z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